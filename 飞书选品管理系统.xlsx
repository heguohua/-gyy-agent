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看板" sheetId="1" state="visible" r:id="rId1"/>
    <sheet name="产品库" sheetId="2" state="visible" r:id="rId2"/>
    <sheet name="销售追踪" sheetId="3" state="visible" r:id="rId3"/>
    <sheet name="采购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"/>
    <numFmt numFmtId="165" formatCode="¥#,##0.0"/>
    <numFmt numFmtId="166" formatCode="0&quot;g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20"/>
    </font>
    <font>
      <b val="1"/>
      <sz val="14"/>
    </font>
    <font>
      <b val="1"/>
      <color rgb="0070AD47"/>
      <sz val="24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📊 选品管理系统 - 数据看板</t>
        </is>
      </c>
    </row>
    <row r="3">
      <c r="A3" s="2" t="inlineStr">
        <is>
          <t>总产品数</t>
        </is>
      </c>
      <c r="B3" s="3" t="inlineStr">
        <is>
          <t>10</t>
        </is>
      </c>
      <c r="C3" t="inlineStr">
        <is>
          <t>个</t>
        </is>
      </c>
    </row>
    <row r="4">
      <c r="A4" s="2" t="inlineStr">
        <is>
          <t>平均利润率</t>
        </is>
      </c>
      <c r="B4" s="3" t="inlineStr">
        <is>
          <t>51.8%</t>
        </is>
      </c>
      <c r="C4" t="inlineStr"/>
    </row>
    <row r="5">
      <c r="A5" s="2" t="inlineStr">
        <is>
          <t>预估月总利润</t>
        </is>
      </c>
      <c r="B5" s="3" t="inlineStr">
        <is>
          <t>¥21,590</t>
        </is>
      </c>
      <c r="C5" t="inlineStr"/>
    </row>
    <row r="6">
      <c r="A6" s="2" t="inlineStr">
        <is>
          <t>已确认样品</t>
        </is>
      </c>
      <c r="B6" s="3" t="inlineStr">
        <is>
          <t>6</t>
        </is>
      </c>
      <c r="C6" t="inlineStr">
        <is>
          <t>个</t>
        </is>
      </c>
    </row>
    <row r="7">
      <c r="A7" s="2" t="inlineStr">
        <is>
          <t>待采购</t>
        </is>
      </c>
      <c r="B7" s="3" t="inlineStr">
        <is>
          <t>3</t>
        </is>
      </c>
      <c r="C7" t="inlineStr">
        <is>
          <t>个</t>
        </is>
      </c>
    </row>
    <row r="8">
      <c r="A8" s="2" t="inlineStr">
        <is>
          <t>样品中</t>
        </is>
      </c>
      <c r="B8" s="3" t="inlineStr">
        <is>
          <t>1</t>
        </is>
      </c>
      <c r="C8" t="inlineStr">
        <is>
          <t>个</t>
        </is>
      </c>
    </row>
    <row r="10">
      <c r="A10" s="2" t="inlineStr">
        <is>
          <t>产品利润排行</t>
        </is>
      </c>
    </row>
    <row r="11">
      <c r="A11" s="4" t="inlineStr">
        <is>
          <t>排名</t>
        </is>
      </c>
      <c r="B11" s="4" t="inlineStr">
        <is>
          <t>SKU</t>
        </is>
      </c>
      <c r="C11" s="4" t="inlineStr">
        <is>
          <t>产品名称</t>
        </is>
      </c>
      <c r="D11" s="4" t="inlineStr">
        <is>
          <t>售价</t>
        </is>
      </c>
      <c r="E11" s="4" t="inlineStr">
        <is>
          <t>成本</t>
        </is>
      </c>
      <c r="F11" s="4" t="inlineStr">
        <is>
          <t>利润</t>
        </is>
      </c>
      <c r="G11" s="4" t="inlineStr">
        <is>
          <t>利润率</t>
        </is>
      </c>
      <c r="H11" s="4" t="inlineStr">
        <is>
          <t>月利润</t>
        </is>
      </c>
    </row>
    <row r="12">
      <c r="A12" s="5" t="n">
        <v>1</v>
      </c>
      <c r="B12" s="6" t="inlineStr">
        <is>
          <t>LJ-009</t>
        </is>
      </c>
      <c r="C12" s="6" t="inlineStr">
        <is>
          <t>时尚手链-多层缠绕</t>
        </is>
      </c>
      <c r="D12" s="6" t="inlineStr">
        <is>
          <t>¥36</t>
        </is>
      </c>
      <c r="E12" s="6" t="inlineStr">
        <is>
          <t>¥7</t>
        </is>
      </c>
      <c r="F12" s="6" t="inlineStr">
        <is>
          <t>¥22.2</t>
        </is>
      </c>
      <c r="G12" s="6" t="inlineStr">
        <is>
          <t>61.7%</t>
        </is>
      </c>
      <c r="H12" s="6" t="inlineStr">
        <is>
          <t>¥2,442</t>
        </is>
      </c>
    </row>
    <row r="13">
      <c r="A13" s="5" t="n">
        <v>2</v>
      </c>
      <c r="B13" s="6" t="inlineStr">
        <is>
          <t>LJ-004</t>
        </is>
      </c>
      <c r="C13" s="6" t="inlineStr">
        <is>
          <t>钛钢情侣手链-镂空</t>
        </is>
      </c>
      <c r="D13" s="6" t="inlineStr">
        <is>
          <t>¥45</t>
        </is>
      </c>
      <c r="E13" s="6" t="inlineStr">
        <is>
          <t>¥10</t>
        </is>
      </c>
      <c r="F13" s="6" t="inlineStr">
        <is>
          <t>¥28.4</t>
        </is>
      </c>
      <c r="G13" s="6" t="inlineStr">
        <is>
          <t>63.1%</t>
        </is>
      </c>
      <c r="H13" s="6" t="inlineStr">
        <is>
          <t>¥2,272</t>
        </is>
      </c>
    </row>
    <row r="14">
      <c r="A14" s="5" t="n">
        <v>3</v>
      </c>
      <c r="B14" s="6" t="inlineStr">
        <is>
          <t>LJ-010</t>
        </is>
      </c>
      <c r="C14" s="6" t="inlineStr">
        <is>
          <t>激光刻字吊坠项链</t>
        </is>
      </c>
      <c r="D14" s="6" t="inlineStr">
        <is>
          <t>¥33</t>
        </is>
      </c>
      <c r="E14" s="6" t="inlineStr">
        <is>
          <t>¥6.5</t>
        </is>
      </c>
      <c r="F14" s="6" t="inlineStr">
        <is>
          <t>¥17.0</t>
        </is>
      </c>
      <c r="G14" s="6" t="inlineStr">
        <is>
          <t>51.5%</t>
        </is>
      </c>
      <c r="H14" s="6" t="inlineStr">
        <is>
          <t>¥2,210</t>
        </is>
      </c>
    </row>
    <row r="15">
      <c r="A15" s="5" t="n">
        <v>4</v>
      </c>
      <c r="B15" s="6" t="inlineStr">
        <is>
          <t>LJ-003</t>
        </is>
      </c>
      <c r="C15" s="6" t="inlineStr">
        <is>
          <t>不锈钢简约手链-扁形</t>
        </is>
      </c>
      <c r="D15" s="6" t="inlineStr">
        <is>
          <t>¥28</t>
        </is>
      </c>
      <c r="E15" s="6" t="inlineStr">
        <is>
          <t>¥5.5</t>
        </is>
      </c>
      <c r="F15" s="6" t="inlineStr">
        <is>
          <t>¥11.7</t>
        </is>
      </c>
      <c r="G15" s="6" t="inlineStr">
        <is>
          <t>41.8%</t>
        </is>
      </c>
      <c r="H15" s="6" t="inlineStr">
        <is>
          <t>¥2,340</t>
        </is>
      </c>
    </row>
    <row r="16">
      <c r="A16" s="5" t="n">
        <v>5</v>
      </c>
      <c r="B16" s="6" t="inlineStr">
        <is>
          <t>LJ-001</t>
        </is>
      </c>
      <c r="C16" s="6" t="inlineStr">
        <is>
          <t>激光雕刻情侣手链-光面</t>
        </is>
      </c>
      <c r="D16" s="6" t="inlineStr">
        <is>
          <t>¥30</t>
        </is>
      </c>
      <c r="E16" s="6" t="inlineStr">
        <is>
          <t>¥6.5</t>
        </is>
      </c>
      <c r="F16" s="6" t="inlineStr">
        <is>
          <t>¥13.7</t>
        </is>
      </c>
      <c r="G16" s="6" t="inlineStr">
        <is>
          <t>45.7%</t>
        </is>
      </c>
      <c r="H16" s="6" t="inlineStr">
        <is>
          <t>¥2,055</t>
        </is>
      </c>
    </row>
    <row r="18">
      <c r="A18" s="7" t="inlineStr">
        <is>
          <t>📌 使用说明</t>
        </is>
      </c>
    </row>
    <row r="19">
      <c r="A19" t="inlineStr">
        <is>
          <t>1. 「产品库」：管理所有选品，黄色行为待采购产品</t>
        </is>
      </c>
    </row>
    <row r="20">
      <c r="A20" t="inlineStr">
        <is>
          <t>2. 「销售追踪」：记录每日销售数据，分析趋势</t>
        </is>
      </c>
    </row>
    <row r="21">
      <c r="A21" t="inlineStr">
        <is>
          <t>3. 「采购管理」：管理采购订单，绿色=已入库，黄色=在途</t>
        </is>
      </c>
    </row>
    <row r="22">
      <c r="A22" t="inlineStr">
        <is>
          <t>4. 「数据看板」：总览关键数据指标</t>
        </is>
      </c>
    </row>
    <row r="23">
      <c r="A23" t="inlineStr">
        <is>
          <t>5. 利润和利润率会自动计算，只需填写基础数据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35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8" customWidth="1" min="17" max="17"/>
    <col width="25" customWidth="1" min="18" max="18"/>
    <col width="15" customWidth="1" min="19" max="19"/>
  </cols>
  <sheetData>
    <row r="1" ht="25" customHeight="1">
      <c r="A1" s="8" t="inlineStr">
        <is>
          <t>SKU编号</t>
        </is>
      </c>
      <c r="B1" s="8" t="inlineStr">
        <is>
          <t>产品名称</t>
        </is>
      </c>
      <c r="C1" s="8" t="inlineStr">
        <is>
          <t>平台</t>
        </is>
      </c>
      <c r="D1" s="8" t="inlineStr">
        <is>
          <t>产品链接</t>
        </is>
      </c>
      <c r="E1" s="8" t="inlineStr">
        <is>
          <t>售价(RMB)</t>
        </is>
      </c>
      <c r="F1" s="8" t="inlineStr">
        <is>
          <t>成本价</t>
        </is>
      </c>
      <c r="G1" s="8" t="inlineStr">
        <is>
          <t>重量(g)</t>
        </is>
      </c>
      <c r="H1" s="8" t="inlineStr">
        <is>
          <t>物流费</t>
        </is>
      </c>
      <c r="I1" s="8" t="inlineStr">
        <is>
          <t>平台佣金%</t>
        </is>
      </c>
      <c r="J1" s="8" t="inlineStr">
        <is>
          <t>利润</t>
        </is>
      </c>
      <c r="K1" s="8" t="inlineStr">
        <is>
          <t>利润率%</t>
        </is>
      </c>
      <c r="L1" s="8" t="inlineStr">
        <is>
          <t>月销量预估</t>
        </is>
      </c>
      <c r="M1" s="8" t="inlineStr">
        <is>
          <t>月利润预估</t>
        </is>
      </c>
      <c r="N1" s="8" t="inlineStr">
        <is>
          <t>竞品数量</t>
        </is>
      </c>
      <c r="O1" s="8" t="inlineStr">
        <is>
          <t>竞争度</t>
        </is>
      </c>
      <c r="P1" s="8" t="inlineStr">
        <is>
          <t>趋势判断</t>
        </is>
      </c>
      <c r="Q1" s="8" t="inlineStr">
        <is>
          <t>样品状态</t>
        </is>
      </c>
      <c r="R1" s="8" t="inlineStr">
        <is>
          <t>供应商</t>
        </is>
      </c>
      <c r="S1" s="8" t="inlineStr">
        <is>
          <t>备注</t>
        </is>
      </c>
    </row>
    <row r="2">
      <c r="A2" s="9" t="inlineStr">
        <is>
          <t>LJ-001</t>
        </is>
      </c>
      <c r="B2" s="9" t="inlineStr">
        <is>
          <t>激光雕刻情侣手链-光面</t>
        </is>
      </c>
      <c r="C2" s="9" t="inlineStr">
        <is>
          <t>TikTok Shop</t>
        </is>
      </c>
      <c r="D2" s="9" t="inlineStr">
        <is>
          <t>https://tiktok.com/lj-001</t>
        </is>
      </c>
      <c r="E2" s="10" t="n">
        <v>30</v>
      </c>
      <c r="F2" s="11" t="n">
        <v>6.5</v>
      </c>
      <c r="G2" s="12" t="n">
        <v>25</v>
      </c>
      <c r="H2" s="10" t="n">
        <v>8</v>
      </c>
      <c r="I2" s="9" t="inlineStr">
        <is>
          <t>6%</t>
        </is>
      </c>
      <c r="J2" s="11">
        <f>E2-F2-H2-(E2*I2)</f>
        <v/>
      </c>
      <c r="K2" s="13">
        <f>J2/E2</f>
        <v/>
      </c>
      <c r="L2" s="14" t="n">
        <v>150</v>
      </c>
      <c r="M2" s="10">
        <f>J2*L2</f>
        <v/>
      </c>
      <c r="N2" s="9" t="n">
        <v>58</v>
      </c>
      <c r="O2" s="9" t="inlineStr">
        <is>
          <t>高</t>
        </is>
      </c>
      <c r="P2" s="9" t="inlineStr">
        <is>
          <t>上升</t>
        </is>
      </c>
      <c r="Q2" s="9" t="inlineStr">
        <is>
          <t>已确认</t>
        </is>
      </c>
      <c r="R2" s="9" t="inlineStr">
        <is>
          <t>广州鸿盛饰品</t>
        </is>
      </c>
      <c r="S2" s="9" t="inlineStr">
        <is>
          <t>主打款</t>
        </is>
      </c>
    </row>
    <row r="3">
      <c r="A3" s="9" t="inlineStr">
        <is>
          <t>LJ-002</t>
        </is>
      </c>
      <c r="B3" s="9" t="inlineStr">
        <is>
          <t>激光雕刻情侣手链-磨砂</t>
        </is>
      </c>
      <c r="C3" s="9" t="inlineStr">
        <is>
          <t>TikTok Shop</t>
        </is>
      </c>
      <c r="D3" s="9" t="inlineStr">
        <is>
          <t>https://tiktok.com/lj-002</t>
        </is>
      </c>
      <c r="E3" s="10" t="n">
        <v>35</v>
      </c>
      <c r="F3" s="11" t="n">
        <v>7.5</v>
      </c>
      <c r="G3" s="12" t="n">
        <v>28</v>
      </c>
      <c r="H3" s="10" t="n">
        <v>8</v>
      </c>
      <c r="I3" s="9" t="inlineStr">
        <is>
          <t>6%</t>
        </is>
      </c>
      <c r="J3" s="11">
        <f>E3-F3-H3-(E3*I3)</f>
        <v/>
      </c>
      <c r="K3" s="13">
        <f>J3/E3</f>
        <v/>
      </c>
      <c r="L3" s="14" t="n">
        <v>120</v>
      </c>
      <c r="M3" s="10">
        <f>J3*L3</f>
        <v/>
      </c>
      <c r="N3" s="9" t="n">
        <v>42</v>
      </c>
      <c r="O3" s="9" t="inlineStr">
        <is>
          <t>中</t>
        </is>
      </c>
      <c r="P3" s="9" t="inlineStr">
        <is>
          <t>上升</t>
        </is>
      </c>
      <c r="Q3" s="9" t="inlineStr">
        <is>
          <t>已确认</t>
        </is>
      </c>
      <c r="R3" s="9" t="inlineStr">
        <is>
          <t>深圳激光工坊</t>
        </is>
      </c>
      <c r="S3" s="9" t="inlineStr">
        <is>
          <t>次推款</t>
        </is>
      </c>
    </row>
    <row r="4">
      <c r="A4" s="15" t="inlineStr">
        <is>
          <t>LJ-003</t>
        </is>
      </c>
      <c r="B4" s="15" t="inlineStr">
        <is>
          <t>不锈钢简约手链-扁形</t>
        </is>
      </c>
      <c r="C4" s="15" t="inlineStr">
        <is>
          <t>TikTok Shop</t>
        </is>
      </c>
      <c r="D4" s="15" t="inlineStr">
        <is>
          <t>https://tiktok.com/lj-003</t>
        </is>
      </c>
      <c r="E4" s="16" t="n">
        <v>28</v>
      </c>
      <c r="F4" s="17" t="n">
        <v>5.5</v>
      </c>
      <c r="G4" s="18" t="n">
        <v>22</v>
      </c>
      <c r="H4" s="16" t="n">
        <v>8</v>
      </c>
      <c r="I4" s="15" t="inlineStr">
        <is>
          <t>6%</t>
        </is>
      </c>
      <c r="J4" s="17">
        <f>E4-F4-H4-(E4*I4)</f>
        <v/>
      </c>
      <c r="K4" s="19">
        <f>J4/E4</f>
        <v/>
      </c>
      <c r="L4" s="20" t="n">
        <v>200</v>
      </c>
      <c r="M4" s="16">
        <f>J4*L4</f>
        <v/>
      </c>
      <c r="N4" s="15" t="n">
        <v>65</v>
      </c>
      <c r="O4" s="15" t="inlineStr">
        <is>
          <t>高</t>
        </is>
      </c>
      <c r="P4" s="15" t="inlineStr">
        <is>
          <t>平稳</t>
        </is>
      </c>
      <c r="Q4" s="15" t="inlineStr">
        <is>
          <t>待采购</t>
        </is>
      </c>
      <c r="R4" s="15" t="inlineStr">
        <is>
          <t>义乌饰品批发</t>
        </is>
      </c>
      <c r="S4" s="15" t="inlineStr">
        <is>
          <t>待测试</t>
        </is>
      </c>
    </row>
    <row r="5">
      <c r="A5" s="9" t="inlineStr">
        <is>
          <t>LJ-004</t>
        </is>
      </c>
      <c r="B5" s="9" t="inlineStr">
        <is>
          <t>钛钢情侣手链-镂空</t>
        </is>
      </c>
      <c r="C5" s="9" t="inlineStr">
        <is>
          <t>Shopee</t>
        </is>
      </c>
      <c r="D5" s="9" t="inlineStr">
        <is>
          <t>https://shopee.com/lj-004</t>
        </is>
      </c>
      <c r="E5" s="10" t="n">
        <v>45</v>
      </c>
      <c r="F5" s="11" t="n">
        <v>10</v>
      </c>
      <c r="G5" s="12" t="n">
        <v>35</v>
      </c>
      <c r="H5" s="10" t="n">
        <v>10</v>
      </c>
      <c r="I5" s="9" t="inlineStr">
        <is>
          <t>8%</t>
        </is>
      </c>
      <c r="J5" s="11">
        <f>E5-F5-H5-(E5*I5)</f>
        <v/>
      </c>
      <c r="K5" s="13">
        <f>J5/E5</f>
        <v/>
      </c>
      <c r="L5" s="14" t="n">
        <v>80</v>
      </c>
      <c r="M5" s="10">
        <f>J5*L5</f>
        <v/>
      </c>
      <c r="N5" s="9" t="n">
        <v>28</v>
      </c>
      <c r="O5" s="9" t="inlineStr">
        <is>
          <t>低</t>
        </is>
      </c>
      <c r="P5" s="9" t="inlineStr">
        <is>
          <t>上升</t>
        </is>
      </c>
      <c r="Q5" s="9" t="inlineStr">
        <is>
          <t>已确认</t>
        </is>
      </c>
      <c r="R5" s="9" t="inlineStr">
        <is>
          <t>广州钛钢制品</t>
        </is>
      </c>
      <c r="S5" s="9" t="inlineStr">
        <is>
          <t>利润高</t>
        </is>
      </c>
    </row>
    <row r="6">
      <c r="A6" s="15" t="inlineStr">
        <is>
          <t>LJ-005</t>
        </is>
      </c>
      <c r="B6" s="15" t="inlineStr">
        <is>
          <t>激光刻字手镯-开口</t>
        </is>
      </c>
      <c r="C6" s="15" t="inlineStr">
        <is>
          <t>Shopee</t>
        </is>
      </c>
      <c r="D6" s="15" t="inlineStr">
        <is>
          <t>https://shopee.com/lj-005</t>
        </is>
      </c>
      <c r="E6" s="16" t="n">
        <v>52</v>
      </c>
      <c r="F6" s="17" t="n">
        <v>12</v>
      </c>
      <c r="G6" s="18" t="n">
        <v>40</v>
      </c>
      <c r="H6" s="16" t="n">
        <v>10</v>
      </c>
      <c r="I6" s="15" t="inlineStr">
        <is>
          <t>8%</t>
        </is>
      </c>
      <c r="J6" s="17">
        <f>E6-F6-H6-(E6*I6)</f>
        <v/>
      </c>
      <c r="K6" s="19">
        <f>J6/E6</f>
        <v/>
      </c>
      <c r="L6" s="20" t="n">
        <v>60</v>
      </c>
      <c r="M6" s="16">
        <f>J6*L6</f>
        <v/>
      </c>
      <c r="N6" s="15" t="n">
        <v>35</v>
      </c>
      <c r="O6" s="15" t="inlineStr">
        <is>
          <t>中</t>
        </is>
      </c>
      <c r="P6" s="15" t="inlineStr">
        <is>
          <t>上升</t>
        </is>
      </c>
      <c r="Q6" s="15" t="inlineStr">
        <is>
          <t>待采购</t>
        </is>
      </c>
      <c r="R6" s="15" t="inlineStr">
        <is>
          <t>-</t>
        </is>
      </c>
      <c r="S6" s="15" t="inlineStr">
        <is>
          <t>待开发</t>
        </is>
      </c>
    </row>
    <row r="7">
      <c r="A7" s="9" t="inlineStr">
        <is>
          <t>LJ-006</t>
        </is>
      </c>
      <c r="B7" s="9" t="inlineStr">
        <is>
          <t>情侣项链-激光刻字</t>
        </is>
      </c>
      <c r="C7" s="9" t="inlineStr">
        <is>
          <t>TikTok Shop</t>
        </is>
      </c>
      <c r="D7" s="9" t="inlineStr">
        <is>
          <t>https://tiktok.com/lj-006</t>
        </is>
      </c>
      <c r="E7" s="10" t="n">
        <v>38</v>
      </c>
      <c r="F7" s="11" t="n">
        <v>8</v>
      </c>
      <c r="G7" s="12" t="n">
        <v>30</v>
      </c>
      <c r="H7" s="10" t="n">
        <v>9</v>
      </c>
      <c r="I7" s="9" t="inlineStr">
        <is>
          <t>6%</t>
        </is>
      </c>
      <c r="J7" s="11">
        <f>E7-F7-H7-(E7*I7)</f>
        <v/>
      </c>
      <c r="K7" s="13">
        <f>J7/E7</f>
        <v/>
      </c>
      <c r="L7" s="14" t="n">
        <v>100</v>
      </c>
      <c r="M7" s="10">
        <f>J7*L7</f>
        <v/>
      </c>
      <c r="N7" s="9" t="n">
        <v>48</v>
      </c>
      <c r="O7" s="9" t="inlineStr">
        <is>
          <t>中</t>
        </is>
      </c>
      <c r="P7" s="9" t="inlineStr">
        <is>
          <t>平稳</t>
        </is>
      </c>
      <c r="Q7" s="9" t="inlineStr">
        <is>
          <t>已确认</t>
        </is>
      </c>
      <c r="R7" s="9" t="inlineStr">
        <is>
          <t>广州鸿盛饰品</t>
        </is>
      </c>
      <c r="S7" s="9" t="inlineStr">
        <is>
          <t>可搭配销售</t>
        </is>
      </c>
    </row>
    <row r="8">
      <c r="A8" s="9" t="inlineStr">
        <is>
          <t>LJ-007</t>
        </is>
      </c>
      <c r="B8" s="9" t="inlineStr">
        <is>
          <t>定制姓名手链</t>
        </is>
      </c>
      <c r="C8" s="9" t="inlineStr">
        <is>
          <t>Lazada</t>
        </is>
      </c>
      <c r="D8" s="9" t="inlineStr">
        <is>
          <t>https://lazada.com/lj-007</t>
        </is>
      </c>
      <c r="E8" s="10" t="n">
        <v>58</v>
      </c>
      <c r="F8" s="11" t="n">
        <v>15</v>
      </c>
      <c r="G8" s="12" t="n">
        <v>32</v>
      </c>
      <c r="H8" s="10" t="n">
        <v>10</v>
      </c>
      <c r="I8" s="9" t="inlineStr">
        <is>
          <t>7%</t>
        </is>
      </c>
      <c r="J8" s="11">
        <f>E8-F8-H8-(E8*I8)</f>
        <v/>
      </c>
      <c r="K8" s="13">
        <f>J8/E8</f>
        <v/>
      </c>
      <c r="L8" s="14" t="n">
        <v>40</v>
      </c>
      <c r="M8" s="10">
        <f>J8*L8</f>
        <v/>
      </c>
      <c r="N8" s="9" t="n">
        <v>22</v>
      </c>
      <c r="O8" s="9" t="inlineStr">
        <is>
          <t>低</t>
        </is>
      </c>
      <c r="P8" s="9" t="inlineStr">
        <is>
          <t>上升</t>
        </is>
      </c>
      <c r="Q8" s="9" t="inlineStr">
        <is>
          <t>样品中</t>
        </is>
      </c>
      <c r="R8" s="9" t="inlineStr">
        <is>
          <t>-</t>
        </is>
      </c>
      <c r="S8" s="9" t="inlineStr">
        <is>
          <t>高客单价</t>
        </is>
      </c>
    </row>
    <row r="9">
      <c r="A9" s="15" t="inlineStr">
        <is>
          <t>LJ-008</t>
        </is>
      </c>
      <c r="B9" s="15" t="inlineStr">
        <is>
          <t>激光雕刻对戒-素圈</t>
        </is>
      </c>
      <c r="C9" s="15" t="inlineStr">
        <is>
          <t>TikTok Shop</t>
        </is>
      </c>
      <c r="D9" s="15" t="inlineStr">
        <is>
          <t>https://tiktok.com/lj-008</t>
        </is>
      </c>
      <c r="E9" s="16" t="n">
        <v>42</v>
      </c>
      <c r="F9" s="17" t="n">
        <v>9</v>
      </c>
      <c r="G9" s="18" t="n">
        <v>28</v>
      </c>
      <c r="H9" s="16" t="n">
        <v>9</v>
      </c>
      <c r="I9" s="15" t="inlineStr">
        <is>
          <t>6%</t>
        </is>
      </c>
      <c r="J9" s="17">
        <f>E9-F9-H9-(E9*I9)</f>
        <v/>
      </c>
      <c r="K9" s="19">
        <f>J9/E9</f>
        <v/>
      </c>
      <c r="L9" s="20" t="n">
        <v>90</v>
      </c>
      <c r="M9" s="16">
        <f>J9*L9</f>
        <v/>
      </c>
      <c r="N9" s="15" t="n">
        <v>55</v>
      </c>
      <c r="O9" s="15" t="inlineStr">
        <is>
          <t>高</t>
        </is>
      </c>
      <c r="P9" s="15" t="inlineStr">
        <is>
          <t>平稳</t>
        </is>
      </c>
      <c r="Q9" s="15" t="inlineStr">
        <is>
          <t>待采购</t>
        </is>
      </c>
      <c r="R9" s="15" t="inlineStr">
        <is>
          <t>-</t>
        </is>
      </c>
      <c r="S9" s="15" t="inlineStr">
        <is>
          <t>可做情侣款</t>
        </is>
      </c>
    </row>
    <row r="10">
      <c r="A10" s="9" t="inlineStr">
        <is>
          <t>LJ-009</t>
        </is>
      </c>
      <c r="B10" s="9" t="inlineStr">
        <is>
          <t>时尚手链-多层缠绕</t>
        </is>
      </c>
      <c r="C10" s="9" t="inlineStr">
        <is>
          <t>Shopee</t>
        </is>
      </c>
      <c r="D10" s="9" t="inlineStr">
        <is>
          <t>https://shopee.com/lj-009</t>
        </is>
      </c>
      <c r="E10" s="10" t="n">
        <v>36</v>
      </c>
      <c r="F10" s="11" t="n">
        <v>7</v>
      </c>
      <c r="G10" s="12" t="n">
        <v>20</v>
      </c>
      <c r="H10" s="10" t="n">
        <v>8</v>
      </c>
      <c r="I10" s="9" t="inlineStr">
        <is>
          <t>8%</t>
        </is>
      </c>
      <c r="J10" s="11">
        <f>E10-F10-H10-(E10*I10)</f>
        <v/>
      </c>
      <c r="K10" s="13">
        <f>J10/E10</f>
        <v/>
      </c>
      <c r="L10" s="14" t="n">
        <v>110</v>
      </c>
      <c r="M10" s="10">
        <f>J10*L10</f>
        <v/>
      </c>
      <c r="N10" s="9" t="n">
        <v>38</v>
      </c>
      <c r="O10" s="9" t="inlineStr">
        <is>
          <t>中</t>
        </is>
      </c>
      <c r="P10" s="9" t="inlineStr">
        <is>
          <t>上升</t>
        </is>
      </c>
      <c r="Q10" s="9" t="inlineStr">
        <is>
          <t>已确认</t>
        </is>
      </c>
      <c r="R10" s="9" t="inlineStr">
        <is>
          <t>义乌时尚饰品</t>
        </is>
      </c>
      <c r="S10" s="9" t="inlineStr">
        <is>
          <t>爆款潜力</t>
        </is>
      </c>
    </row>
    <row r="11">
      <c r="A11" s="9" t="inlineStr">
        <is>
          <t>LJ-010</t>
        </is>
      </c>
      <c r="B11" s="9" t="inlineStr">
        <is>
          <t>激光刻字吊坠项链</t>
        </is>
      </c>
      <c r="C11" s="9" t="inlineStr">
        <is>
          <t>TikTok Shop</t>
        </is>
      </c>
      <c r="D11" s="9" t="inlineStr">
        <is>
          <t>https://tiktok.com/lj-010</t>
        </is>
      </c>
      <c r="E11" s="10" t="n">
        <v>33</v>
      </c>
      <c r="F11" s="11" t="n">
        <v>6.5</v>
      </c>
      <c r="G11" s="12" t="n">
        <v>18</v>
      </c>
      <c r="H11" s="10" t="n">
        <v>7</v>
      </c>
      <c r="I11" s="9" t="inlineStr">
        <is>
          <t>6%</t>
        </is>
      </c>
      <c r="J11" s="11">
        <f>E11-F11-H11-(E11*I11)</f>
        <v/>
      </c>
      <c r="K11" s="13">
        <f>J11/E11</f>
        <v/>
      </c>
      <c r="L11" s="14" t="n">
        <v>130</v>
      </c>
      <c r="M11" s="10">
        <f>J11*L11</f>
        <v/>
      </c>
      <c r="N11" s="9" t="n">
        <v>45</v>
      </c>
      <c r="O11" s="9" t="inlineStr">
        <is>
          <t>中</t>
        </is>
      </c>
      <c r="P11" s="9" t="inlineStr">
        <is>
          <t>上升</t>
        </is>
      </c>
      <c r="Q11" s="9" t="inlineStr">
        <is>
          <t>已确认</t>
        </is>
      </c>
      <c r="R11" s="9" t="inlineStr">
        <is>
          <t>广州鸿盛饰品</t>
        </is>
      </c>
      <c r="S11" s="9" t="inlineStr">
        <is>
          <t>出单稳定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20" customWidth="1" min="12" max="12"/>
  </cols>
  <sheetData>
    <row r="1" ht="25" customHeight="1">
      <c r="A1" s="21" t="inlineStr">
        <is>
          <t>日期</t>
        </is>
      </c>
      <c r="B1" s="21" t="inlineStr">
        <is>
          <t>SKU编号</t>
        </is>
      </c>
      <c r="C1" s="21" t="inlineStr">
        <is>
          <t>产品名称</t>
        </is>
      </c>
      <c r="D1" s="21" t="inlineStr">
        <is>
          <t>销售额</t>
        </is>
      </c>
      <c r="E1" s="21" t="inlineStr">
        <is>
          <t>订单数</t>
        </is>
      </c>
      <c r="F1" s="21" t="inlineStr">
        <is>
          <t>转化率</t>
        </is>
      </c>
      <c r="G1" s="21" t="inlineStr">
        <is>
          <t>广告花费</t>
        </is>
      </c>
      <c r="H1" s="21" t="inlineStr">
        <is>
          <t>利润</t>
        </is>
      </c>
      <c r="I1" s="21" t="inlineStr">
        <is>
          <t>库存</t>
        </is>
      </c>
      <c r="J1" s="21" t="inlineStr">
        <is>
          <t>排名</t>
        </is>
      </c>
      <c r="K1" s="21" t="inlineStr">
        <is>
          <t>排名变化</t>
        </is>
      </c>
      <c r="L1" s="21" t="inlineStr">
        <is>
          <t>备注</t>
        </is>
      </c>
    </row>
    <row r="2">
      <c r="A2" s="9" t="inlineStr">
        <is>
          <t>2026-04-01</t>
        </is>
      </c>
      <c r="B2" s="9" t="inlineStr">
        <is>
          <t>LJ-001</t>
        </is>
      </c>
      <c r="C2" s="9" t="inlineStr">
        <is>
          <t>激光雕刻情侣手链-光面</t>
        </is>
      </c>
      <c r="D2" s="9" t="n">
        <v>780</v>
      </c>
      <c r="E2" s="9" t="n">
        <v>26</v>
      </c>
      <c r="F2" s="9" t="inlineStr">
        <is>
          <t>8.5%</t>
        </is>
      </c>
      <c r="G2" s="9" t="n">
        <v>50</v>
      </c>
      <c r="H2" s="10">
        <f>D2*0.45-E2</f>
        <v/>
      </c>
      <c r="I2" s="9" t="n">
        <v>45</v>
      </c>
      <c r="J2" s="9" t="n">
        <v>1285</v>
      </c>
      <c r="K2" s="9" t="inlineStr">
        <is>
          <t>+3</t>
        </is>
      </c>
      <c r="L2" s="9" t="inlineStr">
        <is>
          <t>周末小高峰</t>
        </is>
      </c>
    </row>
    <row r="3">
      <c r="A3" s="9" t="inlineStr">
        <is>
          <t>2026-04-02</t>
        </is>
      </c>
      <c r="B3" s="9" t="inlineStr">
        <is>
          <t>LJ-001</t>
        </is>
      </c>
      <c r="C3" s="9" t="inlineStr">
        <is>
          <t>激光雕刻情侣手链-光面</t>
        </is>
      </c>
      <c r="D3" s="9" t="n">
        <v>630</v>
      </c>
      <c r="E3" s="9" t="n">
        <v>21</v>
      </c>
      <c r="F3" s="9" t="inlineStr">
        <is>
          <t>7.2%</t>
        </is>
      </c>
      <c r="G3" s="9" t="n">
        <v>45</v>
      </c>
      <c r="H3" s="10">
        <f>D3*0.45-E3</f>
        <v/>
      </c>
      <c r="I3" s="9" t="n">
        <v>42</v>
      </c>
      <c r="J3" s="9" t="n">
        <v>1284</v>
      </c>
      <c r="K3" s="9" t="inlineStr">
        <is>
          <t>-1</t>
        </is>
      </c>
      <c r="L3" s="9" t="inlineStr"/>
    </row>
    <row r="4">
      <c r="A4" s="9" t="inlineStr">
        <is>
          <t>2026-04-03</t>
        </is>
      </c>
      <c r="B4" s="9" t="inlineStr">
        <is>
          <t>LJ-001</t>
        </is>
      </c>
      <c r="C4" s="9" t="inlineStr">
        <is>
          <t>激光雕刻情侣手链-光面</t>
        </is>
      </c>
      <c r="D4" s="9" t="n">
        <v>900</v>
      </c>
      <c r="E4" s="9" t="n">
        <v>30</v>
      </c>
      <c r="F4" s="9" t="inlineStr">
        <is>
          <t>9.1%</t>
        </is>
      </c>
      <c r="G4" s="9" t="n">
        <v>60</v>
      </c>
      <c r="H4" s="10">
        <f>D4*0.45-E4</f>
        <v/>
      </c>
      <c r="I4" s="9" t="n">
        <v>50</v>
      </c>
      <c r="J4" s="9" t="n">
        <v>1282</v>
      </c>
      <c r="K4" s="9" t="inlineStr">
        <is>
          <t>+5</t>
        </is>
      </c>
      <c r="L4" s="9" t="inlineStr">
        <is>
          <t>视频爆了</t>
        </is>
      </c>
    </row>
    <row r="5">
      <c r="A5" s="9" t="inlineStr">
        <is>
          <t>2026-04-04</t>
        </is>
      </c>
      <c r="B5" s="9" t="inlineStr">
        <is>
          <t>LJ-001</t>
        </is>
      </c>
      <c r="C5" s="9" t="inlineStr">
        <is>
          <t>激光雕刻情侣手链-光面</t>
        </is>
      </c>
      <c r="D5" s="9" t="n">
        <v>840</v>
      </c>
      <c r="E5" s="9" t="n">
        <v>28</v>
      </c>
      <c r="F5" s="9" t="inlineStr">
        <is>
          <t>8.8%</t>
        </is>
      </c>
      <c r="G5" s="9" t="n">
        <v>55</v>
      </c>
      <c r="H5" s="10">
        <f>D5*0.45-E5</f>
        <v/>
      </c>
      <c r="I5" s="9" t="n">
        <v>48</v>
      </c>
      <c r="J5" s="9" t="n">
        <v>1280</v>
      </c>
      <c r="K5" s="9" t="inlineStr">
        <is>
          <t>+2</t>
        </is>
      </c>
      <c r="L5" s="9" t="inlineStr"/>
    </row>
    <row r="6">
      <c r="A6" s="9" t="inlineStr">
        <is>
          <t>2026-04-05</t>
        </is>
      </c>
      <c r="B6" s="9" t="inlineStr">
        <is>
          <t>LJ-001</t>
        </is>
      </c>
      <c r="C6" s="9" t="inlineStr">
        <is>
          <t>激光雕刻情侣手链-光面</t>
        </is>
      </c>
      <c r="D6" s="9" t="n">
        <v>750</v>
      </c>
      <c r="E6" s="9" t="n">
        <v>25</v>
      </c>
      <c r="F6" s="9" t="inlineStr">
        <is>
          <t>8.3%</t>
        </is>
      </c>
      <c r="G6" s="9" t="n">
        <v>48</v>
      </c>
      <c r="H6" s="10">
        <f>D6*0.45-E6</f>
        <v/>
      </c>
      <c r="I6" s="9" t="n">
        <v>46</v>
      </c>
      <c r="J6" s="9" t="n">
        <v>1279</v>
      </c>
      <c r="K6" s="9" t="inlineStr">
        <is>
          <t>0</t>
        </is>
      </c>
      <c r="L6" s="9" t="inlineStr"/>
    </row>
    <row r="7">
      <c r="A7" s="9" t="inlineStr">
        <is>
          <t>2026-04-06</t>
        </is>
      </c>
      <c r="B7" s="9" t="inlineStr">
        <is>
          <t>LJ-002</t>
        </is>
      </c>
      <c r="C7" s="9" t="inlineStr">
        <is>
          <t>激光雕刻情侣手链-磨砂</t>
        </is>
      </c>
      <c r="D7" s="9" t="n">
        <v>420</v>
      </c>
      <c r="E7" s="9" t="n">
        <v>14</v>
      </c>
      <c r="F7" s="9" t="inlineStr">
        <is>
          <t>6.5%</t>
        </is>
      </c>
      <c r="G7" s="9" t="n">
        <v>35</v>
      </c>
      <c r="H7" s="10">
        <f>D7*0.45-E7</f>
        <v/>
      </c>
      <c r="I7" s="9" t="n">
        <v>30</v>
      </c>
      <c r="J7" s="9" t="n">
        <v>5890</v>
      </c>
      <c r="K7" s="9" t="inlineStr">
        <is>
          <t>+10</t>
        </is>
      </c>
      <c r="L7" s="9" t="inlineStr">
        <is>
          <t>新上架推广</t>
        </is>
      </c>
    </row>
    <row r="8">
      <c r="A8" s="9" t="inlineStr">
        <is>
          <t>2026-04-07</t>
        </is>
      </c>
      <c r="B8" s="9" t="inlineStr">
        <is>
          <t>LJ-002</t>
        </is>
      </c>
      <c r="C8" s="9" t="inlineStr">
        <is>
          <t>激光雕刻情侣手链-磨砂</t>
        </is>
      </c>
      <c r="D8" s="9" t="n">
        <v>540</v>
      </c>
      <c r="E8" s="9" t="n">
        <v>18</v>
      </c>
      <c r="F8" s="9" t="inlineStr">
        <is>
          <t>7.2%</t>
        </is>
      </c>
      <c r="G8" s="9" t="n">
        <v>40</v>
      </c>
      <c r="H8" s="10">
        <f>D8*0.45-E8</f>
        <v/>
      </c>
      <c r="I8" s="9" t="n">
        <v>35</v>
      </c>
      <c r="J8" s="9" t="n">
        <v>5885</v>
      </c>
      <c r="K8" s="9" t="inlineStr">
        <is>
          <t>+5</t>
        </is>
      </c>
      <c r="L8" s="9" t="inlineStr">
        <is>
          <t>开始出单</t>
        </is>
      </c>
    </row>
    <row r="9">
      <c r="A9" s="9" t="inlineStr">
        <is>
          <t>2026-04-08</t>
        </is>
      </c>
      <c r="B9" s="9" t="inlineStr">
        <is>
          <t>LJ-006</t>
        </is>
      </c>
      <c r="C9" s="9" t="inlineStr">
        <is>
          <t>激光刻字手镯-开口</t>
        </is>
      </c>
      <c r="D9" s="9" t="n">
        <v>510</v>
      </c>
      <c r="E9" s="9" t="n">
        <v>17</v>
      </c>
      <c r="F9" s="9" t="inlineStr">
        <is>
          <t>7.8%</t>
        </is>
      </c>
      <c r="G9" s="9" t="n">
        <v>38</v>
      </c>
      <c r="H9" s="10">
        <f>D9*0.45-E9</f>
        <v/>
      </c>
      <c r="I9" s="9" t="n">
        <v>28</v>
      </c>
      <c r="J9" s="9" t="n">
        <v>3420</v>
      </c>
      <c r="K9" s="9" t="inlineStr">
        <is>
          <t>-2</t>
        </is>
      </c>
      <c r="L9" s="9" t="inlineStr">
        <is>
          <t>被跟卖</t>
        </is>
      </c>
    </row>
    <row r="10">
      <c r="A10" s="9" t="inlineStr">
        <is>
          <t>2026-04-09</t>
        </is>
      </c>
      <c r="B10" s="9" t="inlineStr">
        <is>
          <t>LJ-009</t>
        </is>
      </c>
      <c r="C10" s="9" t="inlineStr">
        <is>
          <t>时尚手链-多层缠绕</t>
        </is>
      </c>
      <c r="D10" s="9" t="n">
        <v>660</v>
      </c>
      <c r="E10" s="9" t="n">
        <v>22</v>
      </c>
      <c r="F10" s="9" t="inlineStr">
        <is>
          <t>8.1%</t>
        </is>
      </c>
      <c r="G10" s="9" t="n">
        <v>42</v>
      </c>
      <c r="H10" s="10">
        <f>D10*0.45-E10</f>
        <v/>
      </c>
      <c r="I10" s="9" t="n">
        <v>38</v>
      </c>
      <c r="J10" s="9" t="n">
        <v>2156</v>
      </c>
      <c r="K10" s="9" t="inlineStr">
        <is>
          <t>+8</t>
        </is>
      </c>
      <c r="L10" s="9" t="inlineStr">
        <is>
          <t>款式新颖</t>
        </is>
      </c>
    </row>
    <row r="11">
      <c r="A11" s="9" t="inlineStr">
        <is>
          <t>2026-04-10</t>
        </is>
      </c>
      <c r="B11" s="9" t="inlineStr">
        <is>
          <t>LJ-010</t>
        </is>
      </c>
      <c r="C11" s="9" t="inlineStr">
        <is>
          <t>激光刻字吊坠项链</t>
        </is>
      </c>
      <c r="D11" s="9" t="n">
        <v>450</v>
      </c>
      <c r="E11" s="9" t="n">
        <v>15</v>
      </c>
      <c r="F11" s="9" t="inlineStr">
        <is>
          <t>7.5%</t>
        </is>
      </c>
      <c r="G11" s="9" t="n">
        <v>36</v>
      </c>
      <c r="H11" s="10">
        <f>D11*0.45-E11</f>
        <v/>
      </c>
      <c r="I11" s="9" t="n">
        <v>32</v>
      </c>
      <c r="J11" s="9" t="n">
        <v>1892</v>
      </c>
      <c r="K11" s="9" t="inlineStr">
        <is>
          <t>0</t>
        </is>
      </c>
      <c r="L11" s="9" t="inlineStr">
        <is>
          <t>稳定出单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25" customHeight="1">
      <c r="A1" s="22" t="inlineStr">
        <is>
          <t>SKU编号</t>
        </is>
      </c>
      <c r="B1" s="22" t="inlineStr">
        <is>
          <t>产品名称</t>
        </is>
      </c>
      <c r="C1" s="22" t="inlineStr">
        <is>
          <t>供应商</t>
        </is>
      </c>
      <c r="D1" s="22" t="inlineStr">
        <is>
          <t>采购价</t>
        </is>
      </c>
      <c r="E1" s="22" t="inlineStr">
        <is>
          <t>备货量</t>
        </is>
      </c>
      <c r="F1" s="22" t="inlineStr">
        <is>
          <t>采购金额</t>
        </is>
      </c>
      <c r="G1" s="22" t="inlineStr">
        <is>
          <t>采购日期</t>
        </is>
      </c>
      <c r="H1" s="22" t="inlineStr">
        <is>
          <t>预计到货</t>
        </is>
      </c>
      <c r="I1" s="22" t="inlineStr">
        <is>
          <t>实际到货</t>
        </is>
      </c>
      <c r="J1" s="22" t="inlineStr">
        <is>
          <t>库存状态</t>
        </is>
      </c>
      <c r="K1" s="22" t="inlineStr">
        <is>
          <t>质检状态</t>
        </is>
      </c>
      <c r="L1" s="22" t="inlineStr">
        <is>
          <t>备注</t>
        </is>
      </c>
    </row>
    <row r="2">
      <c r="A2" s="23" t="inlineStr">
        <is>
          <t>LJ-001</t>
        </is>
      </c>
      <c r="B2" s="23" t="inlineStr">
        <is>
          <t>激光雕刻情侣手链-光面</t>
        </is>
      </c>
      <c r="C2" s="23" t="inlineStr">
        <is>
          <t>广州鸿盛饰品</t>
        </is>
      </c>
      <c r="D2" s="24" t="n">
        <v>6.5</v>
      </c>
      <c r="E2" s="23" t="n">
        <v>200</v>
      </c>
      <c r="F2" s="25">
        <f>D2*E2</f>
        <v/>
      </c>
      <c r="G2" s="23" t="inlineStr">
        <is>
          <t>2026-04-05</t>
        </is>
      </c>
      <c r="H2" s="23" t="inlineStr">
        <is>
          <t>2026-04-08</t>
        </is>
      </c>
      <c r="I2" s="23" t="inlineStr">
        <is>
          <t>2026-04-07</t>
        </is>
      </c>
      <c r="J2" s="23" t="inlineStr">
        <is>
          <t>已入库</t>
        </is>
      </c>
      <c r="K2" s="23" t="inlineStr">
        <is>
          <t>合格</t>
        </is>
      </c>
      <c r="L2" s="23" t="inlineStr">
        <is>
          <t>利润13.7</t>
        </is>
      </c>
    </row>
    <row r="3">
      <c r="A3" s="26" t="inlineStr">
        <is>
          <t>LJ-001</t>
        </is>
      </c>
      <c r="B3" s="26" t="inlineStr">
        <is>
          <t>激光雕刻情侣手链-光面</t>
        </is>
      </c>
      <c r="C3" s="26" t="inlineStr">
        <is>
          <t>广州鸿盛饰品</t>
        </is>
      </c>
      <c r="D3" s="27" t="n">
        <v>6.5</v>
      </c>
      <c r="E3" s="26" t="n">
        <v>300</v>
      </c>
      <c r="F3" s="28">
        <f>D3*E3</f>
        <v/>
      </c>
      <c r="G3" s="26" t="inlineStr">
        <is>
          <t>2026-04-15</t>
        </is>
      </c>
      <c r="H3" s="26" t="inlineStr">
        <is>
          <t>2026-04-18</t>
        </is>
      </c>
      <c r="I3" s="26" t="inlineStr"/>
      <c r="J3" s="26" t="inlineStr">
        <is>
          <t>在途</t>
        </is>
      </c>
      <c r="K3" s="26" t="inlineStr">
        <is>
          <t>待检</t>
        </is>
      </c>
      <c r="L3" s="26" t="inlineStr">
        <is>
          <t>第二批</t>
        </is>
      </c>
    </row>
    <row r="4">
      <c r="A4" s="23" t="inlineStr">
        <is>
          <t>LJ-002</t>
        </is>
      </c>
      <c r="B4" s="23" t="inlineStr">
        <is>
          <t>激光雕刻情侣手链-磨砂</t>
        </is>
      </c>
      <c r="C4" s="23" t="inlineStr">
        <is>
          <t>深圳激光工坊</t>
        </is>
      </c>
      <c r="D4" s="24" t="n">
        <v>7.5</v>
      </c>
      <c r="E4" s="23" t="n">
        <v>150</v>
      </c>
      <c r="F4" s="25">
        <f>D4*E4</f>
        <v/>
      </c>
      <c r="G4" s="23" t="inlineStr">
        <is>
          <t>2026-04-10</t>
        </is>
      </c>
      <c r="H4" s="23" t="inlineStr">
        <is>
          <t>2026-04-13</t>
        </is>
      </c>
      <c r="I4" s="23" t="inlineStr">
        <is>
          <t>2026-04-12</t>
        </is>
      </c>
      <c r="J4" s="23" t="inlineStr">
        <is>
          <t>已入库</t>
        </is>
      </c>
      <c r="K4" s="23" t="inlineStr">
        <is>
          <t>合格</t>
        </is>
      </c>
      <c r="L4" s="23" t="inlineStr">
        <is>
          <t>磨砂损耗略高</t>
        </is>
      </c>
    </row>
    <row r="5">
      <c r="A5" s="9" t="inlineStr">
        <is>
          <t>LJ-003</t>
        </is>
      </c>
      <c r="B5" s="9" t="inlineStr">
        <is>
          <t>不锈钢简约手链-扁形</t>
        </is>
      </c>
      <c r="C5" s="9" t="inlineStr">
        <is>
          <t>义乌饰品批发</t>
        </is>
      </c>
      <c r="D5" s="11" t="n">
        <v>5.5</v>
      </c>
      <c r="E5" s="9" t="n">
        <v>100</v>
      </c>
      <c r="F5" s="10">
        <f>D5*E5</f>
        <v/>
      </c>
      <c r="G5" s="9" t="inlineStr"/>
      <c r="H5" s="9" t="inlineStr">
        <is>
          <t>2026-04-20</t>
        </is>
      </c>
      <c r="I5" s="9" t="inlineStr"/>
      <c r="J5" s="9" t="inlineStr">
        <is>
          <t>待采购</t>
        </is>
      </c>
      <c r="K5" s="9" t="inlineStr">
        <is>
          <t>待检</t>
        </is>
      </c>
      <c r="L5" s="9" t="inlineStr">
        <is>
          <t>待选品确认</t>
        </is>
      </c>
    </row>
    <row r="6">
      <c r="A6" s="23" t="inlineStr">
        <is>
          <t>LJ-004</t>
        </is>
      </c>
      <c r="B6" s="23" t="inlineStr">
        <is>
          <t>钛钢情侣手链-镂空</t>
        </is>
      </c>
      <c r="C6" s="23" t="inlineStr">
        <is>
          <t>广州钛钢制品</t>
        </is>
      </c>
      <c r="D6" s="24" t="n">
        <v>10</v>
      </c>
      <c r="E6" s="23" t="n">
        <v>80</v>
      </c>
      <c r="F6" s="25">
        <f>D6*E6</f>
        <v/>
      </c>
      <c r="G6" s="23" t="inlineStr">
        <is>
          <t>2026-04-08</t>
        </is>
      </c>
      <c r="H6" s="23" t="inlineStr">
        <is>
          <t>2026-04-11</t>
        </is>
      </c>
      <c r="I6" s="23" t="inlineStr">
        <is>
          <t>2026-04-10</t>
        </is>
      </c>
      <c r="J6" s="23" t="inlineStr">
        <is>
          <t>已入库</t>
        </is>
      </c>
      <c r="K6" s="23" t="inlineStr">
        <is>
          <t>合格</t>
        </is>
      </c>
      <c r="L6" s="23" t="inlineStr">
        <is>
          <t>利润28.4</t>
        </is>
      </c>
    </row>
    <row r="7">
      <c r="A7" s="23" t="inlineStr">
        <is>
          <t>LJ-006</t>
        </is>
      </c>
      <c r="B7" s="23" t="inlineStr">
        <is>
          <t>激光刻字手镯-开口</t>
        </is>
      </c>
      <c r="C7" s="23" t="inlineStr">
        <is>
          <t>广州鸿盛饰品</t>
        </is>
      </c>
      <c r="D7" s="24" t="n">
        <v>8</v>
      </c>
      <c r="E7" s="23" t="n">
        <v>120</v>
      </c>
      <c r="F7" s="25">
        <f>D7*E7</f>
        <v/>
      </c>
      <c r="G7" s="23" t="inlineStr">
        <is>
          <t>2026-04-12</t>
        </is>
      </c>
      <c r="H7" s="23" t="inlineStr">
        <is>
          <t>2026-04-15</t>
        </is>
      </c>
      <c r="I7" s="23" t="inlineStr">
        <is>
          <t>2026-04-14</t>
        </is>
      </c>
      <c r="J7" s="23" t="inlineStr">
        <is>
          <t>已入库</t>
        </is>
      </c>
      <c r="K7" s="23" t="inlineStr">
        <is>
          <t>合格</t>
        </is>
      </c>
      <c r="L7" s="23" t="inlineStr">
        <is>
          <t>搭配款</t>
        </is>
      </c>
    </row>
    <row r="8">
      <c r="A8" s="26" t="inlineStr">
        <is>
          <t>LJ-009</t>
        </is>
      </c>
      <c r="B8" s="26" t="inlineStr">
        <is>
          <t>时尚手链-多层缠绕</t>
        </is>
      </c>
      <c r="C8" s="26" t="inlineStr">
        <is>
          <t>义乌时尚饰品</t>
        </is>
      </c>
      <c r="D8" s="27" t="n">
        <v>7</v>
      </c>
      <c r="E8" s="26" t="n">
        <v>100</v>
      </c>
      <c r="F8" s="28">
        <f>D8*E8</f>
        <v/>
      </c>
      <c r="G8" s="26" t="inlineStr">
        <is>
          <t>2026-04-14</t>
        </is>
      </c>
      <c r="H8" s="26" t="inlineStr">
        <is>
          <t>2026-04-17</t>
        </is>
      </c>
      <c r="I8" s="26" t="inlineStr"/>
      <c r="J8" s="26" t="inlineStr">
        <is>
          <t>在途</t>
        </is>
      </c>
      <c r="K8" s="26" t="inlineStr">
        <is>
          <t>待检</t>
        </is>
      </c>
      <c r="L8" s="26" t="inlineStr">
        <is>
          <t>新供应商</t>
        </is>
      </c>
    </row>
    <row r="9">
      <c r="A9" s="26" t="inlineStr">
        <is>
          <t>LJ-010</t>
        </is>
      </c>
      <c r="B9" s="26" t="inlineStr">
        <is>
          <t>激光刻字吊坠项链</t>
        </is>
      </c>
      <c r="C9" s="26" t="inlineStr">
        <is>
          <t>广州鸿盛饰品</t>
        </is>
      </c>
      <c r="D9" s="27" t="n">
        <v>6.5</v>
      </c>
      <c r="E9" s="26" t="n">
        <v>180</v>
      </c>
      <c r="F9" s="28">
        <f>D9*E9</f>
        <v/>
      </c>
      <c r="G9" s="26" t="inlineStr">
        <is>
          <t>2026-04-16</t>
        </is>
      </c>
      <c r="H9" s="26" t="inlineStr">
        <is>
          <t>2026-04-19</t>
        </is>
      </c>
      <c r="I9" s="26" t="inlineStr"/>
      <c r="J9" s="26" t="inlineStr">
        <is>
          <t>在途</t>
        </is>
      </c>
      <c r="K9" s="26" t="inlineStr">
        <is>
          <t>待检</t>
        </is>
      </c>
      <c r="L9" s="26" t="inlineStr">
        <is>
          <t>稳定出单款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2026-04-20T05:06:22Z</dcterms:created>
  <dcterms:modified xsi:type="dcterms:W3CDTF">2026-04-20T05:06:23Z</dcterms:modified>
</cp:coreProperties>
</file>