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3000" tabRatio="600" firstSheet="0" activeTab="2" autoFilterDateGrouping="1"/>
  </bookViews>
  <sheets>
    <sheet name="使用说明" sheetId="1" state="visible" r:id="rId1"/>
    <sheet name="英国" sheetId="2" state="visible" r:id="rId2"/>
    <sheet name="马来西亚" sheetId="3" state="visible" r:id="rId3"/>
    <sheet name="菲律宾" sheetId="4" state="visible" r:id="rId4"/>
    <sheet name="泰国" sheetId="5" state="visible" r:id="rId5"/>
    <sheet name="越南" sheetId="6" state="visible" r:id="rId6"/>
    <sheet name="新加坡" sheetId="7" state="visible" r:id="rId7"/>
    <sheet name="美国" sheetId="8" state="visible" r:id="rId8"/>
    <sheet name="每日去重表" sheetId="9" state="visible" r:id="rId9"/>
  </sheets>
  <definedNames>
    <definedName name="_xlnm._FilterDatabase" localSheetId="2" hidden="1">'马来西亚'!$A$2:$N$24</definedName>
    <definedName name="_xlnm._FilterDatabase" localSheetId="8" hidden="1">'每日去重表'!$A$1:$F$11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9">
    <font>
      <name val="等线"/>
      <charset val="134"/>
      <color theme="1"/>
      <sz val="10"/>
      <scheme val="minor"/>
    </font>
    <font>
      <name val="等线"/>
      <charset val="134"/>
      <b val="1"/>
      <color rgb="FF000000"/>
      <sz val="18"/>
      <scheme val="minor"/>
    </font>
    <font>
      <name val="等线"/>
      <charset val="134"/>
      <color rgb="FF000000"/>
      <sz val="10.5"/>
      <scheme val="minor"/>
    </font>
    <font>
      <name val="等线"/>
      <charset val="134"/>
      <b val="1"/>
      <color rgb="FF000000"/>
      <sz val="12"/>
      <scheme val="minor"/>
    </font>
    <font>
      <name val="等线"/>
      <charset val="134"/>
      <b val="1"/>
      <color rgb="FFF2F2F2"/>
      <sz val="12"/>
      <scheme val="minor"/>
    </font>
    <font>
      <name val="等线"/>
      <charset val="134"/>
      <color rgb="FFFFFFFF"/>
      <sz val="12"/>
      <scheme val="minor"/>
    </font>
    <font>
      <name val="等线"/>
      <charset val="134"/>
      <color rgb="FF000000"/>
      <sz val="12"/>
      <scheme val="minor"/>
    </font>
    <font>
      <name val="等线"/>
      <charset val="134"/>
      <b val="1"/>
      <color rgb="FF000000"/>
      <sz val="15.75"/>
      <scheme val="minor"/>
    </font>
    <font>
      <name val="等线"/>
      <charset val="134"/>
      <b val="1"/>
      <color rgb="FF800080"/>
      <sz val="15.75"/>
      <scheme val="minor"/>
    </font>
    <font>
      <name val="等线"/>
      <charset val="134"/>
      <color rgb="FF000000"/>
      <sz val="9.75"/>
      <scheme val="minor"/>
    </font>
    <font>
      <name val="等线"/>
      <charset val="134"/>
      <b val="1"/>
      <color rgb="FF000000"/>
      <sz val="21.75"/>
      <scheme val="minor"/>
    </font>
    <font>
      <name val="等线"/>
      <charset val="134"/>
      <color rgb="FFF54A45"/>
      <sz val="24"/>
      <scheme val="minor"/>
    </font>
    <font>
      <name val="等线"/>
      <charset val="134"/>
      <color rgb="FFF54A45"/>
      <sz val="18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Calibri"/>
      <charset val="134"/>
      <b val="1"/>
      <color theme="10"/>
      <sz val="15.75"/>
    </font>
    <font>
      <name val="宋体"/>
      <charset val="134"/>
      <color rgb="FF800080"/>
      <sz val="10"/>
    </font>
    <font>
      <name val="Calibri"/>
      <charset val="134"/>
      <b val="1"/>
      <color rgb="FF800080"/>
      <sz val="15.75"/>
    </font>
    <font>
      <name val="宋体-简"/>
      <charset val="134"/>
      <b val="1"/>
      <color rgb="FF800080"/>
      <sz val="15.75"/>
    </font>
    <font>
      <b val="1"/>
      <color rgb="00FFFFFF"/>
    </font>
  </fonts>
  <fills count="39">
    <fill>
      <patternFill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335593"/>
        <bgColor indexed="64"/>
      </patternFill>
    </fill>
    <fill>
      <patternFill patternType="solid">
        <fgColor rgb="FFEE4C5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49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7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8" borderId="5" applyAlignment="1">
      <alignment vertical="center"/>
    </xf>
    <xf numFmtId="0" fontId="23" fillId="9" borderId="6" applyAlignment="1">
      <alignment vertical="center"/>
    </xf>
    <xf numFmtId="0" fontId="24" fillId="9" borderId="5" applyAlignment="1">
      <alignment vertical="center"/>
    </xf>
    <xf numFmtId="0" fontId="25" fillId="10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1" fillId="37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4" fontId="3" fillId="3" borderId="0" applyAlignment="1" pivotButton="0" quotePrefix="0" xfId="0">
      <alignment horizontal="center" vertical="center"/>
    </xf>
    <xf numFmtId="4" fontId="4" fillId="4" borderId="0" applyAlignment="1" pivotButton="0" quotePrefix="0" xfId="0">
      <alignment horizontal="center" vertical="center"/>
    </xf>
    <xf numFmtId="4" fontId="5" fillId="5" borderId="0" applyAlignment="1" pivotButton="0" quotePrefix="0" xfId="0">
      <alignment horizontal="center" vertical="center"/>
    </xf>
    <xf numFmtId="4" fontId="6" fillId="6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6" fillId="0" borderId="0" applyAlignment="1" pivotButton="0" quotePrefix="0" xfId="0">
      <alignment horizontal="center" vertical="center"/>
    </xf>
    <xf numFmtId="0" fontId="38" fillId="38" borderId="14" applyAlignment="1" pivotButton="0" quotePrefix="0" xfId="0">
      <alignment horizontal="center" vertical="center" wrapText="1"/>
    </xf>
    <xf numFmtId="0" fontId="38" fillId="38" borderId="14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s://bytedance.feishu.cn/sheets/shtcnA8PUdPBmF0JUkHi4ci1oEf?sheet=4HiZmX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ytedance.feishu.cn/sheets/shtcnCl8x5FdZGZKOv75E9Rlw8v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ytedance.feishu.cn/sheets/shtcnCl8x5FdZGZKOv75E9Rlw8v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ytedance.feishu.cn/sheets/shtcnCl8x5FdZGZKOv75E9Rlw8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ytedance.feishu.cn/sheets/shtcnCl8x5FdZGZKOv75E9Rlw8v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ytedance.feishu.cn/sheets/shtcnCl8x5FdZGZKOv75E9Rlw8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:H1"/>
    </sheetView>
  </sheetViews>
  <sheetFormatPr baseColWidth="8" defaultColWidth="14" defaultRowHeight="15.2" outlineLevelRow="1"/>
  <sheetData>
    <row r="1" ht="50" customHeight="1" s="26">
      <c r="A1" s="24" t="inlineStr">
        <is>
          <t>请不要直接在表格中编辑，请按下方图示创建副本使用</t>
        </is>
      </c>
      <c r="B1" s="27" t="n"/>
      <c r="C1" s="27" t="n"/>
      <c r="D1" s="27" t="n"/>
      <c r="E1" s="27" t="n"/>
      <c r="F1" s="27" t="n"/>
      <c r="G1" s="27" t="n"/>
      <c r="H1" s="28" t="n"/>
    </row>
    <row r="2" ht="37" customHeight="1" s="26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topLeftCell="B1" activePane="topRight" state="frozen"/>
      <selection activeCell="A1" sqref="A1"/>
      <selection pane="topRight" activeCell="A1" sqref="A1"/>
    </sheetView>
  </sheetViews>
  <sheetFormatPr baseColWidth="8" defaultColWidth="14" defaultRowHeight="15.2"/>
  <cols>
    <col width="18" customWidth="1" style="26" min="1" max="1"/>
    <col width="33" customWidth="1" style="26" min="2" max="2"/>
    <col width="19" customWidth="1" style="26" min="3" max="17"/>
    <col width="13" customWidth="1" style="26" min="18" max="20"/>
  </cols>
  <sheetData>
    <row r="1" ht="106" customHeight="1" s="26">
      <c r="A1" s="23" t="inlineStr">
        <is>
          <t>小店产品定价表</t>
        </is>
      </c>
      <c r="B1" s="14" t="inlineStr">
        <is>
          <t xml:space="preserve">备注：
1、O列【各项手续费】包括：欧洲税费VAT20%+小店手续费5%+汇损、提现、货损5%（估算），包裹成本指货物包装/面单成本
2、英镑兑换人民币汇率：8.3
3、英国跨境物流成本价卡：TikTok Shop 英国跨境物流成本价卡 </t>
        </is>
      </c>
    </row>
    <row r="2" ht="54" customHeight="1" s="26">
      <c r="A2" s="4" t="inlineStr">
        <is>
          <t>产品名称</t>
        </is>
      </c>
      <c r="B2" s="5" t="inlineStr">
        <is>
          <t>sku</t>
        </is>
      </c>
      <c r="C2" s="5" t="inlineStr">
        <is>
          <t>手动填写</t>
        </is>
      </c>
      <c r="D2" s="5" t="inlineStr">
        <is>
          <t>手动填写</t>
        </is>
      </c>
      <c r="E2" s="5" t="inlineStr">
        <is>
          <t>手动填写</t>
        </is>
      </c>
      <c r="F2" s="5" t="inlineStr">
        <is>
          <t>手动填写</t>
        </is>
      </c>
      <c r="G2" s="5" t="inlineStr">
        <is>
          <t>手动填写</t>
        </is>
      </c>
      <c r="H2" s="5" t="inlineStr">
        <is>
          <t>手动填写</t>
        </is>
      </c>
      <c r="I2" s="6" t="inlineStr">
        <is>
          <t>勿改</t>
        </is>
      </c>
      <c r="J2" s="6" t="inlineStr">
        <is>
          <t>勿改</t>
        </is>
      </c>
      <c r="K2" s="5" t="inlineStr">
        <is>
          <t>手动填写</t>
        </is>
      </c>
      <c r="L2" s="6" t="inlineStr">
        <is>
          <t>勿改</t>
        </is>
      </c>
      <c r="M2" s="6" t="inlineStr">
        <is>
          <t>勿改</t>
        </is>
      </c>
      <c r="N2" s="6" t="inlineStr">
        <is>
          <t>勿改</t>
        </is>
      </c>
      <c r="O2" s="6" t="inlineStr">
        <is>
          <t>勿改</t>
        </is>
      </c>
      <c r="P2" s="6" t="inlineStr">
        <is>
          <t>勿改</t>
        </is>
      </c>
      <c r="Q2" s="6" t="inlineStr">
        <is>
          <t>勿改</t>
        </is>
      </c>
    </row>
    <row r="3" ht="54" customHeight="1" s="26">
      <c r="B3" s="8" t="inlineStr">
        <is>
          <t>样式</t>
        </is>
      </c>
      <c r="C3" s="8" t="inlineStr">
        <is>
          <t>进价￥</t>
        </is>
      </c>
      <c r="D3" s="8" t="inlineStr">
        <is>
          <t>包裹成本￥</t>
        </is>
      </c>
      <c r="E3" s="8" t="inlineStr">
        <is>
          <t>长（cm）</t>
        </is>
      </c>
      <c r="F3" s="8" t="inlineStr">
        <is>
          <t>宽（cm）</t>
        </is>
      </c>
      <c r="G3" s="8" t="inlineStr">
        <is>
          <t>高（cm）</t>
        </is>
      </c>
      <c r="H3" s="8" t="inlineStr">
        <is>
          <t>实重 g</t>
        </is>
      </c>
      <c r="I3" s="8" t="inlineStr">
        <is>
          <t>体积重 g</t>
        </is>
      </c>
      <c r="J3" s="8" t="inlineStr">
        <is>
          <t>计费重 g</t>
        </is>
      </c>
      <c r="K3" s="8" t="inlineStr">
        <is>
          <t>本地展示价 ￡</t>
        </is>
      </c>
      <c r="L3" s="8" t="inlineStr">
        <is>
          <t>英国毛利率</t>
        </is>
      </c>
      <c r="M3" s="8" t="inlineStr">
        <is>
          <t>进价+包裹成本￡</t>
        </is>
      </c>
      <c r="N3" s="8" t="inlineStr">
        <is>
          <t>跨境物流成本￡</t>
        </is>
      </c>
      <c r="O3" s="8" t="inlineStr">
        <is>
          <t>各项手续费￡</t>
        </is>
      </c>
      <c r="P3" s="8" t="inlineStr">
        <is>
          <t>利润￡</t>
        </is>
      </c>
      <c r="Q3" s="8" t="inlineStr">
        <is>
          <t>利润￥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7</v>
      </c>
      <c r="D4" s="10" t="n">
        <v>1</v>
      </c>
      <c r="E4" s="10" t="n">
        <v>20</v>
      </c>
      <c r="F4" s="10" t="n">
        <v>15</v>
      </c>
      <c r="G4" s="10" t="n">
        <v>5</v>
      </c>
      <c r="H4" s="10" t="n">
        <v>400</v>
      </c>
      <c r="I4" s="11">
        <f>(E4*F4*G4)/8000*1000</f>
        <v/>
      </c>
      <c r="J4" s="11">
        <f>MAX(H4,I4)</f>
        <v/>
      </c>
      <c r="K4" s="10" t="n">
        <v>20</v>
      </c>
      <c r="L4" s="12">
        <f>P4/K4*100%</f>
        <v/>
      </c>
      <c r="M4" s="29">
        <f>(C4+D4)/8.3</f>
        <v/>
      </c>
      <c r="N4" s="29">
        <f>J4/10*0.07</f>
        <v/>
      </c>
      <c r="O4" s="29">
        <f>K4*0.3</f>
        <v/>
      </c>
      <c r="P4" s="29">
        <f>K4-O4-M4-N4</f>
        <v/>
      </c>
      <c r="Q4" s="29">
        <f>P4*8.3</f>
        <v/>
      </c>
    </row>
    <row r="5" ht="32" customHeight="1" s="26">
      <c r="E5" s="22" t="n"/>
      <c r="F5" s="22" t="n"/>
      <c r="G5" s="22" t="n"/>
      <c r="L5" s="12">
        <f>P5/K5*100%</f>
        <v/>
      </c>
      <c r="M5" s="29">
        <f>(C5+D5)/8.3</f>
        <v/>
      </c>
      <c r="N5" s="29">
        <f>J5/10*0.07</f>
        <v/>
      </c>
      <c r="O5" s="29">
        <f>K5*0.3</f>
        <v/>
      </c>
      <c r="P5" s="29">
        <f>K5-O5-M5-N5</f>
        <v/>
      </c>
      <c r="Q5" s="29">
        <f>P5*8.3</f>
        <v/>
      </c>
    </row>
    <row r="6" ht="32" customHeight="1" s="26">
      <c r="F6" s="22" t="n"/>
      <c r="L6" s="12">
        <f>P6/K6*100%</f>
        <v/>
      </c>
      <c r="M6" s="29">
        <f>(C6+D6)/8.3</f>
        <v/>
      </c>
      <c r="N6" s="29">
        <f>J6/10*0.07</f>
        <v/>
      </c>
      <c r="O6" s="29">
        <f>K6*0.3</f>
        <v/>
      </c>
      <c r="P6" s="29">
        <f>K6-O6-M6-N6</f>
        <v/>
      </c>
      <c r="Q6" s="29">
        <f>P6*8.3</f>
        <v/>
      </c>
    </row>
    <row r="7" ht="32" customHeight="1" s="26">
      <c r="L7" s="12">
        <f>P7/K7*100%</f>
        <v/>
      </c>
      <c r="M7" s="29">
        <f>(C7+D7)/8.3</f>
        <v/>
      </c>
      <c r="N7" s="29">
        <f>J7/10*0.07</f>
        <v/>
      </c>
      <c r="O7" s="29">
        <f>K7*0.3</f>
        <v/>
      </c>
      <c r="P7" s="29">
        <f>K7-O7-M7-N7</f>
        <v/>
      </c>
      <c r="Q7" s="29">
        <f>P7*8.3</f>
        <v/>
      </c>
    </row>
    <row r="8" ht="32" customHeight="1" s="26">
      <c r="L8" s="12">
        <f>P8/K8*100%</f>
        <v/>
      </c>
      <c r="M8" s="29">
        <f>(C8+D8)/8.3</f>
        <v/>
      </c>
      <c r="N8" s="29">
        <f>J8/10*0.07</f>
        <v/>
      </c>
      <c r="O8" s="29">
        <f>K8*0.3</f>
        <v/>
      </c>
      <c r="P8" s="29">
        <f>K8-O8-M8-N8</f>
        <v/>
      </c>
      <c r="Q8" s="29">
        <f>P8*8.3</f>
        <v/>
      </c>
    </row>
    <row r="9" ht="32" customHeight="1" s="26">
      <c r="L9" s="12">
        <f>P9/K9*100%</f>
        <v/>
      </c>
      <c r="M9" s="29">
        <f>(C9+D9)/8.3</f>
        <v/>
      </c>
      <c r="N9" s="29">
        <f>J9/10*0.07</f>
        <v/>
      </c>
      <c r="O9" s="29">
        <f>K9*0.3</f>
        <v/>
      </c>
      <c r="P9" s="29">
        <f>K9-O9-M9-N9</f>
        <v/>
      </c>
      <c r="Q9" s="29">
        <f>P9*8.3</f>
        <v/>
      </c>
    </row>
    <row r="10" ht="32" customHeight="1" s="26">
      <c r="L10" s="12">
        <f>P10/K10*100%</f>
        <v/>
      </c>
      <c r="M10" s="29">
        <f>(C10+D10)/8.3</f>
        <v/>
      </c>
      <c r="N10" s="29">
        <f>J10/10*0.07</f>
        <v/>
      </c>
      <c r="O10" s="29">
        <f>K10*0.3</f>
        <v/>
      </c>
      <c r="P10" s="29">
        <f>K10-O10-M10-N10</f>
        <v/>
      </c>
      <c r="Q10" s="29">
        <f>P10*8.3</f>
        <v/>
      </c>
    </row>
    <row r="11" ht="32" customHeight="1" s="26">
      <c r="L11" s="12">
        <f>P11/K11*100%</f>
        <v/>
      </c>
      <c r="M11" s="29">
        <f>(C11+D11)/8.3</f>
        <v/>
      </c>
      <c r="N11" s="29">
        <f>J11/10*0.07</f>
        <v/>
      </c>
      <c r="O11" s="29">
        <f>K11*0.3</f>
        <v/>
      </c>
      <c r="P11" s="29">
        <f>K11-O11-M11-N11</f>
        <v/>
      </c>
      <c r="Q11" s="29">
        <f>P11*8.3</f>
        <v/>
      </c>
    </row>
    <row r="12" ht="32" customHeight="1" s="26">
      <c r="L12" s="12">
        <f>P12/K12*100%</f>
        <v/>
      </c>
      <c r="M12" s="29">
        <f>(C12+D12)/8.3</f>
        <v/>
      </c>
      <c r="N12" s="29">
        <f>J12/10*0.07</f>
        <v/>
      </c>
      <c r="O12" s="29">
        <f>K12*0.3</f>
        <v/>
      </c>
      <c r="P12" s="29">
        <f>K12-O12-M12-N12</f>
        <v/>
      </c>
      <c r="Q12" s="29">
        <f>P12*8.3</f>
        <v/>
      </c>
    </row>
    <row r="13" ht="32" customHeight="1" s="26">
      <c r="L13" s="12">
        <f>P13/K13*100%</f>
        <v/>
      </c>
      <c r="M13" s="29">
        <f>(C13+D13)/8.3</f>
        <v/>
      </c>
      <c r="N13" s="29">
        <f>J13/10*0.07</f>
        <v/>
      </c>
      <c r="O13" s="29">
        <f>K13*0.3</f>
        <v/>
      </c>
      <c r="P13" s="29">
        <f>K13-O13-M13-N13</f>
        <v/>
      </c>
      <c r="Q13" s="29">
        <f>P13*8.3</f>
        <v/>
      </c>
    </row>
    <row r="14" ht="32" customHeight="1" s="26">
      <c r="L14" s="12">
        <f>P14/K14*100%</f>
        <v/>
      </c>
      <c r="M14" s="29">
        <f>(C14+D14)/8.3</f>
        <v/>
      </c>
      <c r="N14" s="29">
        <f>J14/10*0.07</f>
        <v/>
      </c>
      <c r="O14" s="29">
        <f>K14*0.3</f>
        <v/>
      </c>
      <c r="P14" s="29">
        <f>K14-O14-M14-N14</f>
        <v/>
      </c>
      <c r="Q14" s="29">
        <f>P14*8.3</f>
        <v/>
      </c>
    </row>
    <row r="15" ht="32" customHeight="1" s="26">
      <c r="L15" s="12">
        <f>P15/K15*100%</f>
        <v/>
      </c>
      <c r="M15" s="29">
        <f>(C15+D15)/8.3</f>
        <v/>
      </c>
      <c r="N15" s="29">
        <f>J15/10*0.07</f>
        <v/>
      </c>
      <c r="O15" s="29">
        <f>K15*0.3</f>
        <v/>
      </c>
      <c r="P15" s="29">
        <f>K15-O15-M15-N15</f>
        <v/>
      </c>
      <c r="Q15" s="29">
        <f>P15*8.3</f>
        <v/>
      </c>
    </row>
    <row r="16" ht="32" customHeight="1" s="26">
      <c r="L16" s="12">
        <f>P16/K16*100%</f>
        <v/>
      </c>
      <c r="M16" s="29">
        <f>(C16+D16)/8.3</f>
        <v/>
      </c>
      <c r="N16" s="29">
        <f>J16/10*0.07</f>
        <v/>
      </c>
      <c r="O16" s="29">
        <f>K16*0.3</f>
        <v/>
      </c>
      <c r="P16" s="29">
        <f>K16-O16-M16-N16</f>
        <v/>
      </c>
      <c r="Q16" s="29">
        <f>P16*8.3</f>
        <v/>
      </c>
    </row>
    <row r="17" ht="32" customHeight="1" s="26"/>
    <row r="18" ht="32" customHeight="1" s="26"/>
    <row r="19" ht="32" customHeight="1" s="26"/>
    <row r="20" ht="32" customHeight="1" s="26"/>
  </sheetData>
  <mergeCells count="2">
    <mergeCell ref="B1:Q1"/>
    <mergeCell ref="A2:A3"/>
  </mergeCells>
  <hyperlinks>
    <hyperlink xmlns:r="http://schemas.openxmlformats.org/officeDocument/2006/relationships" ref="B1" display="备注：&#10;1、O列【各项手续费】包括：欧洲税费VAT20%+小店手续费5%+汇损、提现、货损5%（估算），包裹成本指货物包装/面单成本&#10;2、英镑兑换人民币汇率：8.3&#10;3、英国跨境物流成本价卡：TikTok Shop 英国跨境物流成本价卡 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tabSelected="1" topLeftCell="A4" workbookViewId="0">
      <pane ySplit="4" topLeftCell="A5" activePane="bottomLeft" state="frozen"/>
      <selection pane="bottomLeft" activeCell="A1" sqref="A1"/>
      <selection pane="topRight" activeCell="A12" sqref="A12"/>
    </sheetView>
  </sheetViews>
  <sheetFormatPr baseColWidth="8" defaultColWidth="14" defaultRowHeight="15.2"/>
  <cols>
    <col width="26" customWidth="1" style="26" min="1" max="1"/>
    <col width="14" customWidth="1" style="26" min="2" max="2"/>
    <col width="12" customWidth="1" style="26" min="3" max="5"/>
    <col width="12" customWidth="1" style="26" min="4" max="4"/>
    <col width="12" customWidth="1" style="26" min="5" max="5"/>
    <col width="14" customWidth="1" style="26" min="6" max="12"/>
    <col width="10" customWidth="1" style="26" min="7" max="7"/>
    <col width="12" customWidth="1" style="26" min="8" max="8"/>
    <col width="12" customWidth="1" style="26" min="9" max="9"/>
    <col width="12" customWidth="1" style="26" min="10" max="10"/>
    <col width="12" customWidth="1" style="26" min="11" max="11"/>
    <col width="12" customWidth="1" style="26" min="12" max="12"/>
    <col width="12" customWidth="1" style="26" min="13" max="15"/>
    <col width="12" customWidth="1" style="26" min="14" max="14"/>
  </cols>
  <sheetData>
    <row r="1" ht="106" customHeight="1" s="26">
      <c r="A1" s="1" t="inlineStr">
        <is>
          <t>小店产品定价表</t>
        </is>
      </c>
      <c r="B1" s="14" t="inlineStr">
        <is>
          <t xml:space="preserve">备注：
1、J列【各项手续费】包括：小店手续费5%+汇损、提现、货损5%（估算），包裹成本指货物包装/面单成本
2、马币兑换人民币汇率：1.5
3、东南亚官方跨境物流成本价卡：TikTok Shop东南亚跨境物流成本价卡 </t>
        </is>
      </c>
    </row>
    <row r="2" ht="54" customHeight="1" s="26">
      <c r="A2" s="30" t="inlineStr">
        <is>
          <t>产品名称</t>
        </is>
      </c>
      <c r="B2" s="30" t="inlineStr">
        <is>
          <t>sku</t>
        </is>
      </c>
      <c r="C2" s="30" t="inlineStr">
        <is>
          <t>手动填写</t>
        </is>
      </c>
      <c r="D2" s="30" t="inlineStr">
        <is>
          <t>手动填写</t>
        </is>
      </c>
      <c r="E2" s="30" t="inlineStr">
        <is>
          <t>手动填写</t>
        </is>
      </c>
      <c r="F2" s="30" t="inlineStr">
        <is>
          <t>手动填写</t>
        </is>
      </c>
      <c r="G2" s="30" t="inlineStr">
        <is>
          <t>勿改</t>
        </is>
      </c>
      <c r="H2" s="30" t="inlineStr">
        <is>
          <t>勿改</t>
        </is>
      </c>
      <c r="I2" s="30" t="inlineStr">
        <is>
          <t>勿改</t>
        </is>
      </c>
      <c r="J2" s="30" t="inlineStr">
        <is>
          <t>勿改</t>
        </is>
      </c>
      <c r="K2" s="30" t="inlineStr">
        <is>
          <t>勿改</t>
        </is>
      </c>
      <c r="L2" s="30" t="inlineStr">
        <is>
          <t>勿改</t>
        </is>
      </c>
      <c r="M2" s="30" t="inlineStr">
        <is>
          <t>推送优先级</t>
        </is>
      </c>
      <c r="N2" s="30" t="inlineStr">
        <is>
          <t>是否重复</t>
        </is>
      </c>
    </row>
    <row r="3" ht="54" customHeight="1" s="26">
      <c r="A3" s="30" t="n"/>
      <c r="B3" s="30" t="inlineStr">
        <is>
          <t>样式</t>
        </is>
      </c>
      <c r="C3" s="30" t="inlineStr">
        <is>
          <t>进价￥</t>
        </is>
      </c>
      <c r="D3" s="30" t="inlineStr">
        <is>
          <t>包裹成本￥</t>
        </is>
      </c>
      <c r="E3" s="30" t="inlineStr">
        <is>
          <t>实重 g</t>
        </is>
      </c>
      <c r="F3" s="30" t="inlineStr">
        <is>
          <t>本地展示价 MYR</t>
        </is>
      </c>
      <c r="G3" s="30" t="inlineStr">
        <is>
          <t>毛利率</t>
        </is>
      </c>
      <c r="H3" s="30" t="inlineStr">
        <is>
          <t>进价+ 包裹成本MYR</t>
        </is>
      </c>
      <c r="I3" s="30" t="inlineStr">
        <is>
          <t>跨境物流成本MYR</t>
        </is>
      </c>
      <c r="J3" s="30" t="inlineStr">
        <is>
          <t>各项手续费MYR</t>
        </is>
      </c>
      <c r="K3" s="30" t="inlineStr">
        <is>
          <t>利润MYR</t>
        </is>
      </c>
      <c r="L3" s="30" t="inlineStr">
        <is>
          <t>利润￥</t>
        </is>
      </c>
      <c r="M3" s="30" t="inlineStr">
        <is>
          <t>排序</t>
        </is>
      </c>
      <c r="N3" s="30" t="inlineStr">
        <is>
          <t>历史去重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15</v>
      </c>
      <c r="D4" s="10" t="n">
        <v>1</v>
      </c>
      <c r="E4" s="10" t="n">
        <v>400</v>
      </c>
      <c r="F4" s="10" t="n">
        <v>19</v>
      </c>
      <c r="G4" s="12">
        <f>K4/F4</f>
        <v/>
      </c>
      <c r="H4" s="29">
        <f>(C4+D4)/1.5</f>
        <v/>
      </c>
      <c r="I4" s="29">
        <f>E4/10*0.15</f>
        <v/>
      </c>
      <c r="J4" s="29">
        <f>F4*0.1</f>
        <v/>
      </c>
      <c r="K4" s="29">
        <f>F4-J4-H4-I4</f>
        <v/>
      </c>
      <c r="L4" s="29">
        <f>K4*1.5</f>
        <v/>
      </c>
    </row>
    <row r="5" ht="32" customHeight="1" s="26">
      <c r="A5" s="0" t="inlineStr">
        <is>
          <t>壁挂肥皂盒带沥水</t>
        </is>
      </c>
      <c r="B5" s="22" t="inlineStr">
        <is>
          <t>soap-holder</t>
        </is>
      </c>
      <c r="C5" s="22" t="n">
        <v>2.2</v>
      </c>
      <c r="D5" s="22" t="n">
        <v>0.8</v>
      </c>
      <c r="E5" s="22" t="n">
        <v>120</v>
      </c>
      <c r="F5" s="22" t="n">
        <v>8.9</v>
      </c>
      <c r="G5" s="12">
        <f>K5/F5</f>
        <v/>
      </c>
      <c r="H5" s="29">
        <f>(C5+D5)/1.5</f>
        <v/>
      </c>
      <c r="I5" s="29">
        <f>E5/10*0.15</f>
        <v/>
      </c>
      <c r="J5" s="29">
        <f>F5*0.1</f>
        <v/>
      </c>
      <c r="K5" s="29">
        <f>F5-J5-H5-I5</f>
        <v/>
      </c>
      <c r="L5" s="29">
        <f>K5*1.5</f>
        <v/>
      </c>
      <c r="M5" s="0" t="n">
        <v>4</v>
      </c>
      <c r="N5" s="0">
        <f>IF(COUNTIF('每日去重表'!$C:$C,B5)&gt;0,"重复","不重复")</f>
        <v/>
      </c>
    </row>
    <row r="6" ht="32" customHeight="1" s="26">
      <c r="A6" s="0" t="inlineStr">
        <is>
          <t>牙刷收纳架</t>
        </is>
      </c>
      <c r="B6" s="22" t="inlineStr">
        <is>
          <t>toothbrush-holder</t>
        </is>
      </c>
      <c r="C6" s="22" t="n">
        <v>1.8</v>
      </c>
      <c r="D6" s="22" t="n">
        <v>0.6</v>
      </c>
      <c r="E6" s="22" t="n">
        <v>90</v>
      </c>
      <c r="F6" s="22" t="n">
        <v>7.9</v>
      </c>
      <c r="G6" s="12">
        <f>K6/F6</f>
        <v/>
      </c>
      <c r="H6" s="29">
        <f>(C6+D6)/1.5</f>
        <v/>
      </c>
      <c r="I6" s="29">
        <f>E6/10*0.15</f>
        <v/>
      </c>
      <c r="J6" s="29">
        <f>F6*0.1</f>
        <v/>
      </c>
      <c r="K6" s="29">
        <f>F6-J6-H6-I6</f>
        <v/>
      </c>
      <c r="L6" s="29">
        <f>K6*1.5</f>
        <v/>
      </c>
      <c r="M6" s="0" t="n">
        <v>2</v>
      </c>
      <c r="N6" s="0">
        <f>IF(COUNTIF('每日去重表'!$C:$C,B6)&gt;0,"重复","不重复")</f>
        <v/>
      </c>
    </row>
    <row r="7" ht="32" customHeight="1" s="26">
      <c r="A7" s="0" t="inlineStr">
        <is>
          <t>电动牙刷收纳架</t>
        </is>
      </c>
      <c r="B7" s="22" t="inlineStr">
        <is>
          <t>electric-toothbrush-holder</t>
        </is>
      </c>
      <c r="C7" s="22" t="n">
        <v>4.8</v>
      </c>
      <c r="D7" s="22" t="n">
        <v>1</v>
      </c>
      <c r="E7" s="22" t="n">
        <v>180</v>
      </c>
      <c r="F7" s="22" t="n">
        <v>15.9</v>
      </c>
      <c r="G7" s="12">
        <f>K7/F7</f>
        <v/>
      </c>
      <c r="H7" s="29">
        <f>(C7+D7)/1.5</f>
        <v/>
      </c>
      <c r="I7" s="29">
        <f>E7/10*0.15</f>
        <v/>
      </c>
      <c r="J7" s="29">
        <f>F7*0.1</f>
        <v/>
      </c>
      <c r="K7" s="29">
        <f>F7-J7-H7-I7</f>
        <v/>
      </c>
      <c r="L7" s="29">
        <f>K7*1.5</f>
        <v/>
      </c>
      <c r="M7" s="0" t="n">
        <v>11</v>
      </c>
      <c r="N7" s="0">
        <f>IF(COUNTIF('每日去重表'!$C:$C,B7)&gt;0,"重复","不重复")</f>
        <v/>
      </c>
    </row>
    <row r="8" ht="32" customHeight="1" s="26">
      <c r="A8" s="0" t="inlineStr">
        <is>
          <t>牙膏挤压器</t>
        </is>
      </c>
      <c r="B8" s="22" t="inlineStr">
        <is>
          <t>toothpaste-dispenser</t>
        </is>
      </c>
      <c r="C8" s="22" t="n">
        <v>1.5</v>
      </c>
      <c r="D8" s="22" t="n">
        <v>0.5</v>
      </c>
      <c r="E8" s="22" t="n">
        <v>70</v>
      </c>
      <c r="F8" s="22" t="n">
        <v>6.9</v>
      </c>
      <c r="G8" s="12">
        <f>K8/F8</f>
        <v/>
      </c>
      <c r="H8" s="29">
        <f>(C8+D8)/1.5</f>
        <v/>
      </c>
      <c r="I8" s="29">
        <f>E8/10*0.15</f>
        <v/>
      </c>
      <c r="J8" s="29">
        <f>F8*0.1</f>
        <v/>
      </c>
      <c r="K8" s="29">
        <f>F8-J8-H8-I8</f>
        <v/>
      </c>
      <c r="L8" s="29">
        <f>K8*1.5</f>
        <v/>
      </c>
      <c r="M8" s="0" t="n">
        <v>3</v>
      </c>
      <c r="N8" s="0">
        <f>IF(COUNTIF('每日去重表'!$C:$C,B8)&gt;0,"重复","不重复")</f>
        <v/>
      </c>
    </row>
    <row r="9" ht="32" customHeight="1" s="26">
      <c r="A9" s="0" t="inlineStr">
        <is>
          <t>卫生纸架带置物台</t>
        </is>
      </c>
      <c r="B9" s="22" t="inlineStr">
        <is>
          <t>toilet-paper-holder-shelf</t>
        </is>
      </c>
      <c r="C9" s="22" t="n">
        <v>6.8</v>
      </c>
      <c r="D9" s="22" t="n">
        <v>1.2</v>
      </c>
      <c r="E9" s="22" t="n">
        <v>350</v>
      </c>
      <c r="F9" s="22" t="n">
        <v>24.9</v>
      </c>
      <c r="G9" s="12">
        <f>K9/F9</f>
        <v/>
      </c>
      <c r="H9" s="29">
        <f>(C9+D9)/1.5</f>
        <v/>
      </c>
      <c r="I9" s="29">
        <f>E9/10*0.15</f>
        <v/>
      </c>
      <c r="J9" s="29">
        <f>F9*0.1</f>
        <v/>
      </c>
      <c r="K9" s="29">
        <f>F9-J9-H9-I9</f>
        <v/>
      </c>
      <c r="L9" s="29">
        <f>K9*1.5</f>
        <v/>
      </c>
      <c r="M9" s="0" t="n">
        <v>15</v>
      </c>
      <c r="N9" s="0">
        <f>IF(COUNTIF('每日去重表'!$C:$C,B9)&gt;0,"重复","不重复")</f>
        <v/>
      </c>
    </row>
    <row r="10" ht="32" customHeight="1" s="26">
      <c r="A10" s="0" t="inlineStr">
        <is>
          <t>浴室毛巾架</t>
        </is>
      </c>
      <c r="B10" s="22" t="inlineStr">
        <is>
          <t>towel-rack-wall-mounted</t>
        </is>
      </c>
      <c r="C10" s="22" t="n">
        <v>7.2</v>
      </c>
      <c r="D10" s="22" t="n">
        <v>1.5</v>
      </c>
      <c r="E10" s="22" t="n">
        <v>500</v>
      </c>
      <c r="F10" s="22" t="n">
        <v>19.9</v>
      </c>
      <c r="G10" s="12">
        <f>K10/F10</f>
        <v/>
      </c>
      <c r="H10" s="29">
        <f>(C10+D10)/1.5</f>
        <v/>
      </c>
      <c r="I10" s="29">
        <f>E10/10*0.15</f>
        <v/>
      </c>
      <c r="J10" s="29">
        <f>F10*0.1</f>
        <v/>
      </c>
      <c r="K10" s="29">
        <f>F10-J10-H10-I10</f>
        <v/>
      </c>
      <c r="L10" s="29">
        <f>K10*1.5</f>
        <v/>
      </c>
      <c r="M10" s="0" t="n">
        <v>13</v>
      </c>
      <c r="N10" s="0">
        <f>IF(COUNTIF('每日去重表'!$C:$C,B10)&gt;0,"重复","不重复")</f>
        <v/>
      </c>
    </row>
    <row r="11" ht="32" customHeight="1" s="26">
      <c r="A11" s="0" t="inlineStr">
        <is>
          <t>独立式毛巾架</t>
        </is>
      </c>
      <c r="B11" s="22" t="inlineStr">
        <is>
          <t>towel-rack-stand</t>
        </is>
      </c>
      <c r="C11" s="22" t="n">
        <v>15.5</v>
      </c>
      <c r="D11" s="22" t="n">
        <v>2</v>
      </c>
      <c r="E11" s="22" t="n">
        <v>1200</v>
      </c>
      <c r="F11" s="22" t="n">
        <v>59.9</v>
      </c>
      <c r="G11" s="12">
        <f>K11/F11</f>
        <v/>
      </c>
      <c r="H11" s="29">
        <f>(C11+D11)/1.5</f>
        <v/>
      </c>
      <c r="I11" s="29">
        <f>E11/10*0.15</f>
        <v/>
      </c>
      <c r="J11" s="29">
        <f>F11*0.1</f>
        <v/>
      </c>
      <c r="K11" s="29">
        <f>F11-J11-H11-I11</f>
        <v/>
      </c>
      <c r="L11" s="29">
        <f>K11*1.5</f>
        <v/>
      </c>
      <c r="M11" s="0" t="n">
        <v>20</v>
      </c>
      <c r="N11" s="0">
        <f>IF(COUNTIF('每日去重表'!$C:$C,B11)&gt;0,"重复","不重复")</f>
        <v/>
      </c>
    </row>
    <row r="12" ht="32" customHeight="1" s="26">
      <c r="A12" s="0" t="inlineStr">
        <is>
          <t>墙面挂钩</t>
        </is>
      </c>
      <c r="B12" s="22" t="inlineStr">
        <is>
          <t>wall-hook</t>
        </is>
      </c>
      <c r="C12" s="22" t="n">
        <v>0.9</v>
      </c>
      <c r="D12" s="22" t="n">
        <v>0.4</v>
      </c>
      <c r="E12" s="22" t="n">
        <v>40</v>
      </c>
      <c r="F12" s="22" t="n">
        <v>5.9</v>
      </c>
      <c r="G12" s="12">
        <f>K12/F12</f>
        <v/>
      </c>
      <c r="H12" s="29">
        <f>(C12+D12)/1.5</f>
        <v/>
      </c>
      <c r="I12" s="29">
        <f>E12/10*0.15</f>
        <v/>
      </c>
      <c r="J12" s="29">
        <f>F12*0.1</f>
        <v/>
      </c>
      <c r="K12" s="29">
        <f>F12-J12-H12-I12</f>
        <v/>
      </c>
      <c r="L12" s="29">
        <f>K12*1.5</f>
        <v/>
      </c>
      <c r="M12" s="0" t="n">
        <v>1</v>
      </c>
      <c r="N12" s="0">
        <f>IF(COUNTIF('每日去重表'!$C:$C,B12)&gt;0,"重复","不重复")</f>
        <v/>
      </c>
    </row>
    <row r="13" ht="32" customHeight="1" s="26">
      <c r="A13" s="0" t="inlineStr">
        <is>
          <t>马桶刷架</t>
        </is>
      </c>
      <c r="B13" s="22" t="inlineStr">
        <is>
          <t>toilet-brush-holder</t>
        </is>
      </c>
      <c r="C13" s="22" t="n">
        <v>5.4</v>
      </c>
      <c r="D13" s="22" t="n">
        <v>1</v>
      </c>
      <c r="E13" s="22" t="n">
        <v>260</v>
      </c>
      <c r="F13" s="22" t="n">
        <v>18.9</v>
      </c>
      <c r="G13" s="12">
        <f>K13/F13</f>
        <v/>
      </c>
      <c r="H13" s="29">
        <f>(C13+D13)/1.5</f>
        <v/>
      </c>
      <c r="I13" s="29">
        <f>E13/10*0.15</f>
        <v/>
      </c>
      <c r="J13" s="29">
        <f>F13*0.1</f>
        <v/>
      </c>
      <c r="K13" s="29">
        <f>F13-J13-H13-I13</f>
        <v/>
      </c>
      <c r="L13" s="29">
        <f>K13*1.5</f>
        <v/>
      </c>
      <c r="M13" s="0" t="n">
        <v>10</v>
      </c>
      <c r="N13" s="0">
        <f>IF(COUNTIF('每日去重表'!$C:$C,B13)&gt;0,"重复","不重复")</f>
        <v/>
      </c>
    </row>
    <row r="14" ht="32" customHeight="1" s="26">
      <c r="A14" s="0" t="inlineStr">
        <is>
          <t>鞋架</t>
        </is>
      </c>
      <c r="B14" s="22" t="inlineStr">
        <is>
          <t>shoe-rack</t>
        </is>
      </c>
      <c r="C14" s="22" t="n">
        <v>4.8</v>
      </c>
      <c r="D14" s="22" t="n">
        <v>1.2</v>
      </c>
      <c r="E14" s="22" t="n">
        <v>650</v>
      </c>
      <c r="F14" s="22" t="n">
        <v>12.9</v>
      </c>
      <c r="G14" s="12">
        <f>K14/F14</f>
        <v/>
      </c>
      <c r="H14" s="29">
        <f>(C14+D14)/1.5</f>
        <v/>
      </c>
      <c r="I14" s="29">
        <f>E14/10*0.15</f>
        <v/>
      </c>
      <c r="J14" s="29">
        <f>F14*0.1</f>
        <v/>
      </c>
      <c r="K14" s="29">
        <f>F14-J14-H14-I14</f>
        <v/>
      </c>
      <c r="L14" s="29">
        <f>K14*1.5</f>
        <v/>
      </c>
      <c r="M14" s="0" t="n">
        <v>14</v>
      </c>
      <c r="N14" s="0">
        <f>IF(COUNTIF('每日去重表'!$C:$C,B14)&gt;0,"重复","不重复")</f>
        <v/>
      </c>
    </row>
    <row r="15" ht="32" customHeight="1" s="26">
      <c r="A15" s="0" t="inlineStr">
        <is>
          <t>鞋柜式鞋架</t>
        </is>
      </c>
      <c r="B15" s="22" t="inlineStr">
        <is>
          <t>shoe-rack-cabinet</t>
        </is>
      </c>
      <c r="C15" s="22" t="n">
        <v>12.5</v>
      </c>
      <c r="D15" s="22" t="n">
        <v>2</v>
      </c>
      <c r="E15" s="22" t="n">
        <v>1800</v>
      </c>
      <c r="F15" s="22" t="n">
        <v>35.9</v>
      </c>
      <c r="G15" s="12">
        <f>K15/F15</f>
        <v/>
      </c>
      <c r="H15" s="29">
        <f>(C15+D15)/1.5</f>
        <v/>
      </c>
      <c r="I15" s="29">
        <f>E15/10*0.15</f>
        <v/>
      </c>
      <c r="J15" s="29">
        <f>F15*0.1</f>
        <v/>
      </c>
      <c r="K15" s="29">
        <f>F15-J15-H15-I15</f>
        <v/>
      </c>
      <c r="L15" s="29">
        <f>K15*1.5</f>
        <v/>
      </c>
      <c r="M15" s="0" t="n">
        <v>18</v>
      </c>
      <c r="N15" s="0">
        <f>IF(COUNTIF('每日去重表'!$C:$C,B15)&gt;0,"重复","不重复")</f>
        <v/>
      </c>
    </row>
    <row r="16" ht="32" customHeight="1" s="26">
      <c r="A16" s="0" t="inlineStr">
        <is>
          <t>折叠脏衣篮</t>
        </is>
      </c>
      <c r="B16" s="22" t="inlineStr">
        <is>
          <t>foldable-laundry-basket</t>
        </is>
      </c>
      <c r="C16" s="22" t="n">
        <v>5.8</v>
      </c>
      <c r="D16" s="22" t="n">
        <v>1</v>
      </c>
      <c r="E16" s="22" t="n">
        <v>450</v>
      </c>
      <c r="F16" s="22" t="n">
        <v>14.9</v>
      </c>
      <c r="G16" s="12">
        <f>K16/F16</f>
        <v/>
      </c>
      <c r="H16" s="29">
        <f>(C16+D16)/1.5</f>
        <v/>
      </c>
      <c r="I16" s="29">
        <f>E16/10*0.15</f>
        <v/>
      </c>
      <c r="J16" s="29">
        <f>F16*0.1</f>
        <v/>
      </c>
      <c r="K16" s="29">
        <f>F16-J16-H16-I16</f>
        <v/>
      </c>
      <c r="L16" s="29">
        <f>K16*1.5</f>
        <v/>
      </c>
      <c r="M16" s="0" t="n">
        <v>12</v>
      </c>
      <c r="N16" s="0">
        <f>IF(COUNTIF('每日去重表'!$C:$C,B16)&gt;0,"重复","不重复")</f>
        <v/>
      </c>
    </row>
    <row r="17" ht="32" customHeight="1" s="26">
      <c r="A17" s="0" t="inlineStr">
        <is>
          <t>带盖脏衣篮</t>
        </is>
      </c>
      <c r="B17" s="22" t="inlineStr">
        <is>
          <t>laundry-basket-with-lid</t>
        </is>
      </c>
      <c r="C17" s="22" t="n">
        <v>9.800000000000001</v>
      </c>
      <c r="D17" s="22" t="n">
        <v>1.5</v>
      </c>
      <c r="E17" s="22" t="n">
        <v>900</v>
      </c>
      <c r="F17" s="22" t="n">
        <v>24.9</v>
      </c>
      <c r="G17" s="12">
        <f>K17/F17</f>
        <v/>
      </c>
      <c r="H17" s="29">
        <f>(C17+D17)/1.5</f>
        <v/>
      </c>
      <c r="I17" s="29">
        <f>E17/10*0.15</f>
        <v/>
      </c>
      <c r="J17" s="29">
        <f>F17*0.1</f>
        <v/>
      </c>
      <c r="K17" s="29">
        <f>F17-J17-H17-I17</f>
        <v/>
      </c>
      <c r="L17" s="29">
        <f>K17*1.5</f>
        <v/>
      </c>
      <c r="M17" s="0" t="n">
        <v>17</v>
      </c>
      <c r="N17" s="0">
        <f>IF(COUNTIF('每日去重表'!$C:$C,B17)&gt;0,"重复","不重复")</f>
        <v/>
      </c>
    </row>
    <row r="18" ht="32" customHeight="1" s="26">
      <c r="A18" s="0" t="inlineStr">
        <is>
          <t>衣柜收纳挂袋</t>
        </is>
      </c>
      <c r="B18" s="22" t="inlineStr">
        <is>
          <t>wardrobe-organizer</t>
        </is>
      </c>
      <c r="C18" s="22" t="n">
        <v>4.2</v>
      </c>
      <c r="D18" s="22" t="n">
        <v>0.8</v>
      </c>
      <c r="E18" s="22" t="n">
        <v>250</v>
      </c>
      <c r="F18" s="22" t="n">
        <v>16.9</v>
      </c>
      <c r="G18" s="12">
        <f>K18/F18</f>
        <v/>
      </c>
      <c r="H18" s="29">
        <f>(C18+D18)/1.5</f>
        <v/>
      </c>
      <c r="I18" s="29">
        <f>E18/10*0.15</f>
        <v/>
      </c>
      <c r="J18" s="29">
        <f>F18*0.1</f>
        <v/>
      </c>
      <c r="K18" s="29">
        <f>F18-J18-H18-I18</f>
        <v/>
      </c>
      <c r="L18" s="29">
        <f>K18*1.5</f>
        <v/>
      </c>
      <c r="M18" s="0" t="n">
        <v>5</v>
      </c>
      <c r="N18" s="0">
        <f>IF(COUNTIF('每日去重表'!$C:$C,B18)&gt;0,"重复","不重复")</f>
        <v/>
      </c>
    </row>
    <row r="19" ht="32" customHeight="1" s="26">
      <c r="A19" s="0" t="inlineStr">
        <is>
          <t>折叠衣物收纳盒</t>
        </is>
      </c>
      <c r="B19" s="22" t="inlineStr">
        <is>
          <t>foldable-clothes-storage-box</t>
        </is>
      </c>
      <c r="C19" s="22" t="n">
        <v>3.6</v>
      </c>
      <c r="D19" s="22" t="n">
        <v>0.8</v>
      </c>
      <c r="E19" s="22" t="n">
        <v>300</v>
      </c>
      <c r="F19" s="22" t="n">
        <v>11.9</v>
      </c>
      <c r="G19" s="12">
        <f>K19/F19</f>
        <v/>
      </c>
      <c r="H19" s="29">
        <f>(C19+D19)/1.5</f>
        <v/>
      </c>
      <c r="I19" s="29">
        <f>E19/10*0.15</f>
        <v/>
      </c>
      <c r="J19" s="29">
        <f>F19*0.1</f>
        <v/>
      </c>
      <c r="K19" s="29">
        <f>F19-J19-H19-I19</f>
        <v/>
      </c>
      <c r="L19" s="29">
        <f>K19*1.5</f>
        <v/>
      </c>
      <c r="M19" s="0" t="n">
        <v>6</v>
      </c>
      <c r="N19" s="0">
        <f>IF(COUNTIF('每日去重表'!$C:$C,B19)&gt;0,"重复","不重复")</f>
        <v/>
      </c>
    </row>
    <row r="20" ht="32" customHeight="1" s="26">
      <c r="A20" s="0" t="inlineStr">
        <is>
          <t>床底收纳箱</t>
        </is>
      </c>
      <c r="B20" s="22" t="inlineStr">
        <is>
          <t>under-bed-storage-box</t>
        </is>
      </c>
      <c r="C20" s="22" t="n">
        <v>13.8</v>
      </c>
      <c r="D20" s="22" t="n">
        <v>2.2</v>
      </c>
      <c r="E20" s="22" t="n">
        <v>1600</v>
      </c>
      <c r="F20" s="22" t="n">
        <v>49.9</v>
      </c>
      <c r="G20" s="12">
        <f>K20/F20</f>
        <v/>
      </c>
      <c r="H20" s="29">
        <f>(C20+D20)/1.5</f>
        <v/>
      </c>
      <c r="I20" s="29">
        <f>E20/10*0.15</f>
        <v/>
      </c>
      <c r="J20" s="29">
        <f>F20*0.1</f>
        <v/>
      </c>
      <c r="K20" s="29">
        <f>F20-J20-H20-I20</f>
        <v/>
      </c>
      <c r="L20" s="29">
        <f>K20*1.5</f>
        <v/>
      </c>
      <c r="M20" s="0" t="n">
        <v>19</v>
      </c>
      <c r="N20" s="0">
        <f>IF(COUNTIF('每日去重表'!$C:$C,B20)&gt;0,"重复","不重复")</f>
        <v/>
      </c>
    </row>
    <row r="21">
      <c r="A21" s="0" t="inlineStr">
        <is>
          <t>包包挂钩</t>
        </is>
      </c>
      <c r="B21" s="22" t="inlineStr">
        <is>
          <t>bag-hook</t>
        </is>
      </c>
      <c r="C21" s="22" t="n">
        <v>0.8</v>
      </c>
      <c r="D21" s="22" t="n">
        <v>0.3</v>
      </c>
      <c r="E21" s="22" t="n">
        <v>35</v>
      </c>
      <c r="F21" s="22" t="n">
        <v>4.9</v>
      </c>
      <c r="G21" s="12">
        <f>K21/F21</f>
        <v/>
      </c>
      <c r="H21" s="29">
        <f>(C21+D21)/1.5</f>
        <v/>
      </c>
      <c r="I21" s="29">
        <f>E21/10*0.15</f>
        <v/>
      </c>
      <c r="J21" s="29">
        <f>F21*0.1</f>
        <v/>
      </c>
      <c r="K21" s="29">
        <f>F21-J21-H21-I21</f>
        <v/>
      </c>
      <c r="L21" s="29">
        <f>K21*1.5</f>
        <v/>
      </c>
      <c r="M21" s="0" t="n">
        <v>8</v>
      </c>
      <c r="N21" s="0">
        <f>IF(COUNTIF('每日去重表'!$C:$C,B21)&gt;0,"重复","不重复")</f>
        <v/>
      </c>
    </row>
    <row r="22">
      <c r="A22" s="0" t="inlineStr">
        <is>
          <t>围巾挂架</t>
        </is>
      </c>
      <c r="B22" s="22" t="inlineStr">
        <is>
          <t>scarf-hanger-holder</t>
        </is>
      </c>
      <c r="C22" s="22" t="n">
        <v>2.9</v>
      </c>
      <c r="D22" s="22" t="n">
        <v>0.6</v>
      </c>
      <c r="E22" s="22" t="n">
        <v>110</v>
      </c>
      <c r="F22" s="22" t="n">
        <v>9.9</v>
      </c>
      <c r="G22" s="12">
        <f>K22/F22</f>
        <v/>
      </c>
      <c r="H22" s="29">
        <f>(C22+D22)/1.5</f>
        <v/>
      </c>
      <c r="I22" s="29">
        <f>E22/10*0.15</f>
        <v/>
      </c>
      <c r="J22" s="29">
        <f>F22*0.1</f>
        <v/>
      </c>
      <c r="K22" s="29">
        <f>F22-J22-H22-I22</f>
        <v/>
      </c>
      <c r="L22" s="29">
        <f>K22*1.5</f>
        <v/>
      </c>
      <c r="M22" s="0" t="n">
        <v>9</v>
      </c>
      <c r="N22" s="0">
        <f>IF(COUNTIF('每日去重表'!$C:$C,B22)&gt;0,"重复","不重复")</f>
        <v/>
      </c>
    </row>
    <row r="23">
      <c r="A23" s="0" t="inlineStr">
        <is>
          <t>伸缩晾衣架</t>
        </is>
      </c>
      <c r="B23" s="22" t="inlineStr">
        <is>
          <t>clothes-hanging-rack</t>
        </is>
      </c>
      <c r="C23" s="22" t="n">
        <v>11.8</v>
      </c>
      <c r="D23" s="22" t="n">
        <v>1.8</v>
      </c>
      <c r="E23" s="22" t="n">
        <v>1300</v>
      </c>
      <c r="F23" s="22" t="n">
        <v>29.9</v>
      </c>
      <c r="G23" s="12">
        <f>K23/F23</f>
        <v/>
      </c>
      <c r="H23" s="29">
        <f>(C23+D23)/1.5</f>
        <v/>
      </c>
      <c r="I23" s="29">
        <f>E23/10*0.15</f>
        <v/>
      </c>
      <c r="J23" s="29">
        <f>F23*0.1</f>
        <v/>
      </c>
      <c r="K23" s="29">
        <f>F23-J23-H23-I23</f>
        <v/>
      </c>
      <c r="L23" s="29">
        <f>K23*1.5</f>
        <v/>
      </c>
      <c r="M23" s="0" t="n">
        <v>16</v>
      </c>
      <c r="N23" s="0">
        <f>IF(COUNTIF('每日去重表'!$C:$C,B23)&gt;0,"重复","不重复")</f>
        <v/>
      </c>
    </row>
    <row r="24">
      <c r="A24" s="0" t="inlineStr">
        <is>
          <t>床边挂篮</t>
        </is>
      </c>
      <c r="B24" s="22" t="inlineStr">
        <is>
          <t>bedside-hanging-basket</t>
        </is>
      </c>
      <c r="C24" s="22" t="n">
        <v>4.1</v>
      </c>
      <c r="D24" s="22" t="n">
        <v>0.8</v>
      </c>
      <c r="E24" s="22" t="n">
        <v>220</v>
      </c>
      <c r="F24" s="22" t="n">
        <v>14.9</v>
      </c>
      <c r="G24" s="12">
        <f>K24/F24</f>
        <v/>
      </c>
      <c r="H24" s="29">
        <f>(C24+D24)/1.5</f>
        <v/>
      </c>
      <c r="I24" s="29">
        <f>E24/10*0.15</f>
        <v/>
      </c>
      <c r="J24" s="29">
        <f>F24*0.1</f>
        <v/>
      </c>
      <c r="K24" s="29">
        <f>F24-J24-H24-I24</f>
        <v/>
      </c>
      <c r="L24" s="29">
        <f>K24*1.5</f>
        <v/>
      </c>
      <c r="M24" s="0" t="n">
        <v>7</v>
      </c>
      <c r="N24" s="0">
        <f>IF(COUNTIF('每日去重表'!$C:$C,B24)&gt;0,"重复","不重复")</f>
        <v/>
      </c>
    </row>
  </sheetData>
  <autoFilter ref="A2:N24"/>
  <mergeCells count="2">
    <mergeCell ref="A2:A3"/>
    <mergeCell ref="B1:L1"/>
  </mergeCells>
  <hyperlinks>
    <hyperlink xmlns:r="http://schemas.openxmlformats.org/officeDocument/2006/relationships" ref="B1" display="备注：&#10;1、J列【各项手续费】包括：小店手续费5%+汇损、提现、货损5%（估算），包裹成本指货物包装/面单成本&#10;2、马币兑换人民币汇率：1.5&#10;3、东南亚官方跨境物流成本价卡：TikTok Shop东南亚跨境物流成本价卡 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topLeftCell="B1" activePane="topRight" state="frozen"/>
      <selection activeCell="A1" sqref="A1"/>
      <selection pane="topRight" activeCell="B1" sqref="B1:L1"/>
    </sheetView>
  </sheetViews>
  <sheetFormatPr baseColWidth="8" defaultColWidth="14" defaultRowHeight="15.2"/>
  <cols>
    <col width="34" customWidth="1" style="26" min="1" max="1"/>
    <col width="33" customWidth="1" style="26" min="2" max="2"/>
    <col width="17" customWidth="1" style="26" min="3" max="5"/>
    <col width="19" customWidth="1" style="26" min="6" max="12"/>
    <col width="13" customWidth="1" style="26" min="13" max="15"/>
  </cols>
  <sheetData>
    <row r="1" ht="106" customHeight="1" s="26">
      <c r="A1" s="1" t="inlineStr">
        <is>
          <t>小店产品定价表</t>
        </is>
      </c>
      <c r="B1" s="21" t="inlineStr">
        <is>
          <t xml:space="preserve">备注：
1、J列【各项手续费】包括：小店手续费5%+汇损、提现、货损5%（估算），包裹成本指货物包装/面单成本
2、人民币兑换菲律宾比索汇率：7.8
3、东南亚官方跨境物流成本价卡：TikTok Shop东南亚跨境物流成本价卡 </t>
        </is>
      </c>
    </row>
    <row r="2" ht="54" customHeight="1" s="26">
      <c r="A2" s="4" t="inlineStr">
        <is>
          <t>产品名称</t>
        </is>
      </c>
      <c r="B2" s="5" t="inlineStr">
        <is>
          <t>sku</t>
        </is>
      </c>
      <c r="C2" s="5" t="inlineStr">
        <is>
          <t>手动填写</t>
        </is>
      </c>
      <c r="D2" s="5" t="inlineStr">
        <is>
          <t>手动填写</t>
        </is>
      </c>
      <c r="E2" s="5" t="inlineStr">
        <is>
          <t>手动填写</t>
        </is>
      </c>
      <c r="F2" s="5" t="inlineStr">
        <is>
          <t>手动填写</t>
        </is>
      </c>
      <c r="G2" s="6" t="inlineStr">
        <is>
          <t>勿改</t>
        </is>
      </c>
      <c r="H2" s="6" t="inlineStr">
        <is>
          <t>勿改</t>
        </is>
      </c>
      <c r="I2" s="6" t="inlineStr">
        <is>
          <t>勿改</t>
        </is>
      </c>
      <c r="J2" s="6" t="inlineStr">
        <is>
          <t>勿改</t>
        </is>
      </c>
      <c r="K2" s="6" t="inlineStr">
        <is>
          <t>勿改</t>
        </is>
      </c>
      <c r="L2" s="6" t="inlineStr">
        <is>
          <t>勿改</t>
        </is>
      </c>
    </row>
    <row r="3" ht="54" customHeight="1" s="26">
      <c r="B3" s="8" t="inlineStr">
        <is>
          <t>样式</t>
        </is>
      </c>
      <c r="C3" s="8" t="inlineStr">
        <is>
          <t>进价￥</t>
        </is>
      </c>
      <c r="D3" s="8" t="inlineStr">
        <is>
          <t>包裹成本￥</t>
        </is>
      </c>
      <c r="E3" s="8" t="inlineStr">
        <is>
          <t>实重 g</t>
        </is>
      </c>
      <c r="F3" s="8" t="inlineStr">
        <is>
          <t>本地展示价 PHP</t>
        </is>
      </c>
      <c r="G3" s="8" t="inlineStr">
        <is>
          <t>毛利率</t>
        </is>
      </c>
      <c r="H3" s="8" t="inlineStr">
        <is>
          <t>进价+包裹成本PHP</t>
        </is>
      </c>
      <c r="I3" s="8" t="inlineStr">
        <is>
          <t>跨境物流成本PHP</t>
        </is>
      </c>
      <c r="J3" s="8" t="inlineStr">
        <is>
          <t>各项手续费PHP</t>
        </is>
      </c>
      <c r="K3" s="8" t="inlineStr">
        <is>
          <t>利润PHP</t>
        </is>
      </c>
      <c r="L3" s="8" t="inlineStr">
        <is>
          <t>利润￥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15</v>
      </c>
      <c r="D4" s="10" t="n">
        <v>1</v>
      </c>
      <c r="E4" s="10" t="n">
        <v>400</v>
      </c>
      <c r="F4" s="10" t="n">
        <v>400</v>
      </c>
      <c r="G4" s="12">
        <f>K4/F4*100%</f>
        <v/>
      </c>
      <c r="H4" s="29">
        <f>(C4+D4)*7.8</f>
        <v/>
      </c>
      <c r="I4" s="29">
        <f>E4/10*4.5</f>
        <v/>
      </c>
      <c r="J4" s="29">
        <f>F4*0.1</f>
        <v/>
      </c>
      <c r="K4" s="29">
        <f>F4-J4-H4-I4</f>
        <v/>
      </c>
      <c r="L4" s="29">
        <f>K4/7.8</f>
        <v/>
      </c>
    </row>
    <row r="5" ht="32" customHeight="1" s="26">
      <c r="A5" s="0" t="n">
        <v>22</v>
      </c>
      <c r="B5" s="0" t="inlineStr">
        <is>
          <t>测试</t>
        </is>
      </c>
      <c r="C5" s="0" t="n">
        <v>1</v>
      </c>
      <c r="D5" s="0" t="n">
        <v>1</v>
      </c>
      <c r="E5" s="0" t="n">
        <v>50</v>
      </c>
      <c r="F5" s="0" t="n">
        <v>40</v>
      </c>
      <c r="G5" s="12">
        <f>K5/F5*100%</f>
        <v/>
      </c>
      <c r="H5" s="29">
        <f>(C5+D5)*7.8</f>
        <v/>
      </c>
      <c r="I5" s="29">
        <f>E5/10*4.5</f>
        <v/>
      </c>
      <c r="J5" s="29">
        <f>F5*0.1</f>
        <v/>
      </c>
      <c r="K5" s="29">
        <f>F5-J5-H5-I5</f>
        <v/>
      </c>
      <c r="L5" s="29">
        <f>K5/7.8</f>
        <v/>
      </c>
    </row>
    <row r="6" ht="32" customHeight="1" s="26">
      <c r="G6" s="12">
        <f>K6/F6*100%</f>
        <v/>
      </c>
      <c r="H6" s="29">
        <f>(C6+D6)*7.8</f>
        <v/>
      </c>
      <c r="I6" s="29">
        <f>E6/10*4.5</f>
        <v/>
      </c>
      <c r="J6" s="29">
        <f>F6*0.1</f>
        <v/>
      </c>
      <c r="K6" s="29">
        <f>F6-J6-H6-I6</f>
        <v/>
      </c>
      <c r="L6" s="29">
        <f>K6/7.8</f>
        <v/>
      </c>
    </row>
    <row r="7" ht="32" customHeight="1" s="26">
      <c r="G7" s="12">
        <f>K7/F7*100%</f>
        <v/>
      </c>
      <c r="H7" s="29">
        <f>(C7+D7)*7.8</f>
        <v/>
      </c>
      <c r="I7" s="29">
        <f>E7/10*4.5</f>
        <v/>
      </c>
      <c r="J7" s="29">
        <f>F7*0.1</f>
        <v/>
      </c>
      <c r="K7" s="29">
        <f>F7-J7-H7-I7</f>
        <v/>
      </c>
      <c r="L7" s="29">
        <f>K7/7.8</f>
        <v/>
      </c>
    </row>
    <row r="8" ht="32" customHeight="1" s="26">
      <c r="G8" s="12">
        <f>K8/F8*100%</f>
        <v/>
      </c>
      <c r="H8" s="29">
        <f>(C8+D8)*7.8</f>
        <v/>
      </c>
      <c r="I8" s="29">
        <f>E8/10*4.5</f>
        <v/>
      </c>
      <c r="J8" s="29">
        <f>F8*0.1</f>
        <v/>
      </c>
      <c r="K8" s="29">
        <f>F8-J8-H8-I8</f>
        <v/>
      </c>
      <c r="L8" s="29">
        <f>K8/7.8</f>
        <v/>
      </c>
    </row>
    <row r="9" ht="32" customHeight="1" s="26">
      <c r="G9" s="12">
        <f>K9/F9*100%</f>
        <v/>
      </c>
      <c r="H9" s="29">
        <f>(C9+D9)*7.8</f>
        <v/>
      </c>
      <c r="I9" s="29">
        <f>E9/10*4.5</f>
        <v/>
      </c>
      <c r="J9" s="29">
        <f>F9*0.1</f>
        <v/>
      </c>
      <c r="K9" s="29">
        <f>F9-J9-H9-I9</f>
        <v/>
      </c>
      <c r="L9" s="29">
        <f>K9/7.8</f>
        <v/>
      </c>
    </row>
    <row r="10" ht="32" customHeight="1" s="26">
      <c r="G10" s="12">
        <f>K10/F10*100%</f>
        <v/>
      </c>
      <c r="H10" s="29">
        <f>(C10+D10)*7.8</f>
        <v/>
      </c>
      <c r="I10" s="29">
        <f>E10/10*4.5</f>
        <v/>
      </c>
      <c r="J10" s="29">
        <f>F10*0.1</f>
        <v/>
      </c>
      <c r="K10" s="29">
        <f>F10-J10-H10-I10</f>
        <v/>
      </c>
      <c r="L10" s="29">
        <f>K10/7.8</f>
        <v/>
      </c>
    </row>
    <row r="11" ht="32" customHeight="1" s="26">
      <c r="G11" s="12">
        <f>K11/F11*100%</f>
        <v/>
      </c>
      <c r="H11" s="29">
        <f>(C11+D11)*7.8</f>
        <v/>
      </c>
      <c r="I11" s="29">
        <f>E11/10*4.5</f>
        <v/>
      </c>
      <c r="J11" s="29">
        <f>F11*0.1</f>
        <v/>
      </c>
      <c r="K11" s="29">
        <f>F11-J11-H11-I11</f>
        <v/>
      </c>
      <c r="L11" s="29">
        <f>K11/7.8</f>
        <v/>
      </c>
    </row>
    <row r="12" ht="32" customHeight="1" s="26">
      <c r="G12" s="12">
        <f>K12/F12*100%</f>
        <v/>
      </c>
      <c r="H12" s="29">
        <f>(C12+D12)*7.8</f>
        <v/>
      </c>
      <c r="I12" s="29">
        <f>E12/10*4.5</f>
        <v/>
      </c>
      <c r="J12" s="29">
        <f>F12*0.1</f>
        <v/>
      </c>
      <c r="K12" s="29">
        <f>F12-J12-H12-I12</f>
        <v/>
      </c>
      <c r="L12" s="29">
        <f>K12/7.8</f>
        <v/>
      </c>
    </row>
    <row r="13" ht="32" customHeight="1" s="26">
      <c r="G13" s="12">
        <f>K13/F13*100%</f>
        <v/>
      </c>
      <c r="H13" s="29">
        <f>(C13+D13)*7.8</f>
        <v/>
      </c>
      <c r="I13" s="29">
        <f>E13/10*4.5</f>
        <v/>
      </c>
      <c r="J13" s="29">
        <f>F13*0.1</f>
        <v/>
      </c>
      <c r="K13" s="29">
        <f>F13-J13-H13-I13</f>
        <v/>
      </c>
      <c r="L13" s="29">
        <f>K13/7.8</f>
        <v/>
      </c>
    </row>
    <row r="14" ht="32" customHeight="1" s="26">
      <c r="G14" s="12">
        <f>K14/F14*100%</f>
        <v/>
      </c>
      <c r="H14" s="29">
        <f>(C14+D14)*7.8</f>
        <v/>
      </c>
      <c r="I14" s="29">
        <f>E14/10*4.5</f>
        <v/>
      </c>
      <c r="J14" s="29">
        <f>F14*0.1</f>
        <v/>
      </c>
      <c r="K14" s="29">
        <f>F14-J14-H14-I14</f>
        <v/>
      </c>
      <c r="L14" s="29">
        <f>K14/7.8</f>
        <v/>
      </c>
    </row>
    <row r="15" ht="32" customHeight="1" s="26">
      <c r="G15" s="12">
        <f>K15/F15*100%</f>
        <v/>
      </c>
      <c r="H15" s="29">
        <f>(C15+D15)*7.8</f>
        <v/>
      </c>
      <c r="I15" s="29">
        <f>E15/10*4.5</f>
        <v/>
      </c>
      <c r="J15" s="29">
        <f>F15*0.1</f>
        <v/>
      </c>
      <c r="K15" s="29">
        <f>F15-J15-H15-I15</f>
        <v/>
      </c>
      <c r="L15" s="29">
        <f>K15/7.8</f>
        <v/>
      </c>
    </row>
    <row r="16" ht="32" customHeight="1" s="26">
      <c r="G16" s="12">
        <f>K16/F16*100%</f>
        <v/>
      </c>
      <c r="H16" s="29">
        <f>(C16+D16)*7.8</f>
        <v/>
      </c>
      <c r="I16" s="29">
        <f>E16/10*4.5</f>
        <v/>
      </c>
      <c r="J16" s="29">
        <f>F16*0.1</f>
        <v/>
      </c>
      <c r="K16" s="29">
        <f>F16-J16-H16-I16</f>
        <v/>
      </c>
      <c r="L16" s="29">
        <f>K16/7.8</f>
        <v/>
      </c>
    </row>
    <row r="17" ht="32" customHeight="1" s="26">
      <c r="G17" s="12">
        <f>K17/F17*100%</f>
        <v/>
      </c>
      <c r="H17" s="29">
        <f>(C17+D17)*7.8</f>
        <v/>
      </c>
      <c r="I17" s="29">
        <f>E17/10*4.5</f>
        <v/>
      </c>
      <c r="J17" s="29">
        <f>F17*0.1</f>
        <v/>
      </c>
      <c r="K17" s="29">
        <f>F17-J17-H17-I17</f>
        <v/>
      </c>
      <c r="L17" s="29">
        <f>K17/7.8</f>
        <v/>
      </c>
    </row>
    <row r="18" ht="32" customHeight="1" s="26">
      <c r="G18" s="12">
        <f>K18/F18*100%</f>
        <v/>
      </c>
      <c r="H18" s="29">
        <f>(C18+D18)*7.8</f>
        <v/>
      </c>
      <c r="I18" s="29">
        <f>E18/10*4.5</f>
        <v/>
      </c>
      <c r="J18" s="29">
        <f>F18*0.1</f>
        <v/>
      </c>
      <c r="K18" s="29">
        <f>F18-J18-H18-I18</f>
        <v/>
      </c>
      <c r="L18" s="29">
        <f>K18/7.8</f>
        <v/>
      </c>
    </row>
    <row r="19" ht="32" customHeight="1" s="26">
      <c r="G19" s="12">
        <f>K19/F19*100%</f>
        <v/>
      </c>
      <c r="H19" s="29">
        <f>(C19+D19)*7.8</f>
        <v/>
      </c>
      <c r="I19" s="29">
        <f>E19/10*4.5</f>
        <v/>
      </c>
      <c r="J19" s="29">
        <f>F19*0.1</f>
        <v/>
      </c>
      <c r="K19" s="29">
        <f>F19-J19-H19-I19</f>
        <v/>
      </c>
      <c r="L19" s="29">
        <f>K19/7.8</f>
        <v/>
      </c>
    </row>
    <row r="20" ht="32" customHeight="1" s="26">
      <c r="G20" s="12">
        <f>K20/F20*100%</f>
        <v/>
      </c>
      <c r="H20" s="29">
        <f>(C20+D20)*7.8</f>
        <v/>
      </c>
      <c r="I20" s="29">
        <f>E20/10*4.5</f>
        <v/>
      </c>
      <c r="J20" s="29">
        <f>F20*0.1</f>
        <v/>
      </c>
      <c r="K20" s="29">
        <f>F20-J20-H20-I20</f>
        <v/>
      </c>
      <c r="L20" s="29">
        <f>K20/7.8</f>
        <v/>
      </c>
    </row>
  </sheetData>
  <mergeCells count="2">
    <mergeCell ref="A2:A3"/>
    <mergeCell ref="B1:L1"/>
  </mergeCells>
  <hyperlinks>
    <hyperlink xmlns:r="http://schemas.openxmlformats.org/officeDocument/2006/relationships" ref="B1" display="备注：&#10;1、J列【各项手续费】包括：小店手续费5%+汇损、提现、货损5%（估算），包裹成本指货物包装/面单成本&#10;2、人民币兑换菲律宾比索汇率：7.8&#10;3、东南亚官方跨境物流成本价卡：TikTok Shop东南亚跨境物流成本价卡 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topLeftCell="B1" activePane="topRight" state="frozen"/>
      <selection activeCell="A1" sqref="A1"/>
      <selection pane="topRight" activeCell="A1" sqref="A1"/>
    </sheetView>
  </sheetViews>
  <sheetFormatPr baseColWidth="8" defaultColWidth="14" defaultRowHeight="15.2"/>
  <cols>
    <col width="34" customWidth="1" style="26" min="1" max="1"/>
    <col width="33" customWidth="1" style="26" min="2" max="2"/>
    <col width="17" customWidth="1" style="26" min="3" max="5"/>
    <col width="19" customWidth="1" style="26" min="6" max="12"/>
    <col width="13" customWidth="1" style="26" min="13" max="15"/>
  </cols>
  <sheetData>
    <row r="1" ht="106" customHeight="1" s="26">
      <c r="A1" s="1" t="inlineStr">
        <is>
          <t>小店产品定价表</t>
        </is>
      </c>
      <c r="B1" s="14" t="inlineStr">
        <is>
          <t xml:space="preserve">备注：
1、M列【各项手续费】包括：小店手续费5%+汇损、提现、货损合计5%（估算）+泰国交易手续费3%或12泰铢，包裹成本指货物包装/面单成本
2、人民币兑换泰铢汇率：5.1
3、东南亚官方跨境物流成本价卡：TikTok Shop东南亚跨境物流成本价卡 </t>
        </is>
      </c>
    </row>
    <row r="2" ht="54" customHeight="1" s="26">
      <c r="A2" s="4" t="inlineStr">
        <is>
          <t>产品名称</t>
        </is>
      </c>
      <c r="B2" s="5" t="inlineStr">
        <is>
          <t>sku</t>
        </is>
      </c>
      <c r="C2" s="5" t="inlineStr">
        <is>
          <t>手动填写</t>
        </is>
      </c>
      <c r="D2" s="5" t="inlineStr">
        <is>
          <t>手动填写</t>
        </is>
      </c>
      <c r="E2" s="5" t="inlineStr">
        <is>
          <t>手动填写</t>
        </is>
      </c>
      <c r="F2" s="5" t="inlineStr">
        <is>
          <t>手动填写</t>
        </is>
      </c>
      <c r="G2" s="6" t="inlineStr">
        <is>
          <t>勿改</t>
        </is>
      </c>
      <c r="H2" s="6" t="inlineStr">
        <is>
          <t>勿改</t>
        </is>
      </c>
      <c r="I2" s="6" t="inlineStr">
        <is>
          <t>勿改</t>
        </is>
      </c>
      <c r="J2" s="6" t="inlineStr">
        <is>
          <t>勿改</t>
        </is>
      </c>
      <c r="K2" s="6" t="inlineStr">
        <is>
          <t>勿改</t>
        </is>
      </c>
      <c r="L2" s="6" t="inlineStr">
        <is>
          <t>勿改</t>
        </is>
      </c>
    </row>
    <row r="3" ht="54" customHeight="1" s="26">
      <c r="B3" s="8" t="inlineStr">
        <is>
          <t>样式</t>
        </is>
      </c>
      <c r="C3" s="8" t="inlineStr">
        <is>
          <t>进价￥</t>
        </is>
      </c>
      <c r="D3" s="8" t="inlineStr">
        <is>
          <t>包裹成本￥</t>
        </is>
      </c>
      <c r="E3" s="8" t="inlineStr">
        <is>
          <t>实重 g</t>
        </is>
      </c>
      <c r="F3" s="8" t="inlineStr">
        <is>
          <t>本地展示价 THB</t>
        </is>
      </c>
      <c r="G3" s="8" t="inlineStr">
        <is>
          <t>毛利率</t>
        </is>
      </c>
      <c r="H3" s="8" t="inlineStr">
        <is>
          <t>包裹成本THB</t>
        </is>
      </c>
      <c r="I3" s="8" t="inlineStr">
        <is>
          <t>跨境物流成本THB</t>
        </is>
      </c>
      <c r="J3" s="8" t="inlineStr">
        <is>
          <t>各项手续费THB</t>
        </is>
      </c>
      <c r="K3" s="8" t="inlineStr">
        <is>
          <t>利润THB</t>
        </is>
      </c>
      <c r="L3" s="8" t="inlineStr">
        <is>
          <t>利润￥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15</v>
      </c>
      <c r="D4" s="10" t="n">
        <v>1</v>
      </c>
      <c r="E4" s="10" t="n">
        <v>400</v>
      </c>
      <c r="F4" s="10" t="n">
        <v>400</v>
      </c>
      <c r="G4" s="12">
        <f>K4/F4*100%</f>
        <v/>
      </c>
      <c r="H4" s="29">
        <f>(C4+D4)*5.1</f>
        <v/>
      </c>
      <c r="I4" s="29">
        <f>E4/10*1</f>
        <v/>
      </c>
      <c r="J4" s="29">
        <f>F4*0.15</f>
        <v/>
      </c>
      <c r="K4" s="29">
        <f>F4-J4-H4-I4</f>
        <v/>
      </c>
      <c r="L4" s="29">
        <f>K4/5.1</f>
        <v/>
      </c>
    </row>
    <row r="5" ht="32" customHeight="1" s="26">
      <c r="G5" s="12">
        <f>K5/F5*100%</f>
        <v/>
      </c>
      <c r="H5" s="29">
        <f>(C5+D5)*5.1</f>
        <v/>
      </c>
      <c r="I5" s="29">
        <f>E5/10*1</f>
        <v/>
      </c>
      <c r="J5" s="29">
        <f>F5*0.15</f>
        <v/>
      </c>
      <c r="K5" s="29">
        <f>F5-J5-H5-I5</f>
        <v/>
      </c>
      <c r="L5" s="29">
        <f>K5/5.1</f>
        <v/>
      </c>
    </row>
    <row r="6" ht="32" customHeight="1" s="26">
      <c r="G6" s="12">
        <f>K6/F6*100%</f>
        <v/>
      </c>
      <c r="H6" s="29">
        <f>(C6+D6)*5.1</f>
        <v/>
      </c>
      <c r="I6" s="29">
        <f>E6/10*1</f>
        <v/>
      </c>
      <c r="J6" s="29">
        <f>F6*0.15</f>
        <v/>
      </c>
      <c r="K6" s="29">
        <f>F6-J6-H6-I6</f>
        <v/>
      </c>
      <c r="L6" s="29">
        <f>K6/5.1</f>
        <v/>
      </c>
    </row>
    <row r="7" ht="32" customHeight="1" s="26">
      <c r="G7" s="12">
        <f>K7/F7*100%</f>
        <v/>
      </c>
      <c r="H7" s="29">
        <f>(C7+D7)*5.1</f>
        <v/>
      </c>
      <c r="I7" s="29">
        <f>E7/10*1</f>
        <v/>
      </c>
      <c r="J7" s="29">
        <f>F7*0.15</f>
        <v/>
      </c>
      <c r="K7" s="29">
        <f>F7-J7-H7-I7</f>
        <v/>
      </c>
      <c r="L7" s="29">
        <f>K7/5.1</f>
        <v/>
      </c>
    </row>
    <row r="8" ht="32" customHeight="1" s="26">
      <c r="G8" s="12">
        <f>K8/F8*100%</f>
        <v/>
      </c>
      <c r="H8" s="29">
        <f>(C8+D8)*5.1</f>
        <v/>
      </c>
      <c r="I8" s="29">
        <f>E8/10*1</f>
        <v/>
      </c>
      <c r="J8" s="29">
        <f>F8*0.15</f>
        <v/>
      </c>
      <c r="K8" s="29">
        <f>F8-J8-H8-I8</f>
        <v/>
      </c>
      <c r="L8" s="29">
        <f>K8/5.1</f>
        <v/>
      </c>
    </row>
    <row r="9" ht="32" customHeight="1" s="26">
      <c r="G9" s="12">
        <f>K9/F9*100%</f>
        <v/>
      </c>
      <c r="H9" s="29">
        <f>(C9+D9)*5.1</f>
        <v/>
      </c>
      <c r="I9" s="29">
        <f>E9/10*1</f>
        <v/>
      </c>
      <c r="J9" s="29">
        <f>F9*0.15</f>
        <v/>
      </c>
      <c r="K9" s="29">
        <f>F9-J9-H9-I9</f>
        <v/>
      </c>
      <c r="L9" s="29">
        <f>K9/5.1</f>
        <v/>
      </c>
    </row>
    <row r="10" ht="32" customHeight="1" s="26">
      <c r="G10" s="12">
        <f>K10/F10*100%</f>
        <v/>
      </c>
      <c r="H10" s="29">
        <f>(C10+D10)*5.1</f>
        <v/>
      </c>
      <c r="I10" s="29">
        <f>E10/10*1</f>
        <v/>
      </c>
      <c r="J10" s="29">
        <f>F10*0.15</f>
        <v/>
      </c>
      <c r="K10" s="29">
        <f>F10-J10-H10-I10</f>
        <v/>
      </c>
      <c r="L10" s="29">
        <f>K10/5.1</f>
        <v/>
      </c>
    </row>
    <row r="11" ht="32" customHeight="1" s="26">
      <c r="G11" s="12">
        <f>K11/F11*100%</f>
        <v/>
      </c>
      <c r="H11" s="29">
        <f>(C11+D11)*5.1</f>
        <v/>
      </c>
      <c r="I11" s="29">
        <f>E11/10*1</f>
        <v/>
      </c>
      <c r="J11" s="29">
        <f>F11*0.15</f>
        <v/>
      </c>
      <c r="K11" s="29">
        <f>F11-J11-H11-I11</f>
        <v/>
      </c>
      <c r="L11" s="29">
        <f>K11/5.1</f>
        <v/>
      </c>
    </row>
    <row r="12" ht="32" customHeight="1" s="26">
      <c r="G12" s="12">
        <f>K12/F12*100%</f>
        <v/>
      </c>
      <c r="H12" s="29">
        <f>(C12+D12)*5.1</f>
        <v/>
      </c>
      <c r="I12" s="29">
        <f>E12/10*1</f>
        <v/>
      </c>
      <c r="J12" s="29">
        <f>F12*0.15</f>
        <v/>
      </c>
      <c r="K12" s="29">
        <f>F12-J12-H12-I12</f>
        <v/>
      </c>
      <c r="L12" s="29">
        <f>K12/5.1</f>
        <v/>
      </c>
    </row>
    <row r="13" ht="32" customHeight="1" s="26">
      <c r="G13" s="12">
        <f>K13/F13*100%</f>
        <v/>
      </c>
      <c r="H13" s="29">
        <f>(C13+D13)*5.1</f>
        <v/>
      </c>
      <c r="I13" s="29">
        <f>E13/10*1</f>
        <v/>
      </c>
      <c r="J13" s="29">
        <f>F13*0.15</f>
        <v/>
      </c>
      <c r="K13" s="29">
        <f>F13-J13-H13-I13</f>
        <v/>
      </c>
      <c r="L13" s="29">
        <f>K13/5.1</f>
        <v/>
      </c>
    </row>
    <row r="14" ht="32" customHeight="1" s="26">
      <c r="G14" s="12">
        <f>K14/F14*100%</f>
        <v/>
      </c>
      <c r="H14" s="29">
        <f>(C14+D14)*5.1</f>
        <v/>
      </c>
      <c r="I14" s="29">
        <f>E14/10*1</f>
        <v/>
      </c>
      <c r="J14" s="29">
        <f>F14*0.15</f>
        <v/>
      </c>
      <c r="K14" s="29">
        <f>F14-J14-H14-I14</f>
        <v/>
      </c>
      <c r="L14" s="29">
        <f>K14/5.1</f>
        <v/>
      </c>
    </row>
    <row r="15" ht="32" customHeight="1" s="26">
      <c r="G15" s="12">
        <f>K15/F15*100%</f>
        <v/>
      </c>
      <c r="H15" s="29">
        <f>(C15+D15)*5.1</f>
        <v/>
      </c>
      <c r="I15" s="29">
        <f>E15/10*1</f>
        <v/>
      </c>
      <c r="J15" s="29">
        <f>F15*0.15</f>
        <v/>
      </c>
      <c r="K15" s="29">
        <f>F15-J15-H15-I15</f>
        <v/>
      </c>
      <c r="L15" s="29">
        <f>K15/5.1</f>
        <v/>
      </c>
    </row>
    <row r="16" ht="32" customHeight="1" s="26">
      <c r="G16" s="12">
        <f>K16/F16*100%</f>
        <v/>
      </c>
      <c r="H16" s="29">
        <f>(C16+D16)*5.1</f>
        <v/>
      </c>
      <c r="I16" s="29">
        <f>E16/10*1</f>
        <v/>
      </c>
      <c r="J16" s="29">
        <f>F16*0.15</f>
        <v/>
      </c>
      <c r="K16" s="29">
        <f>F16-J16-H16-I16</f>
        <v/>
      </c>
      <c r="L16" s="29">
        <f>K16/5.1</f>
        <v/>
      </c>
    </row>
    <row r="17" ht="32" customHeight="1" s="26">
      <c r="G17" s="12">
        <f>K17/F17*100%</f>
        <v/>
      </c>
      <c r="H17" s="29">
        <f>(C17+D17)*5.1</f>
        <v/>
      </c>
      <c r="I17" s="29">
        <f>E17/10*1</f>
        <v/>
      </c>
      <c r="J17" s="29">
        <f>F17*0.15</f>
        <v/>
      </c>
      <c r="K17" s="29">
        <f>F17-J17-H17-I17</f>
        <v/>
      </c>
      <c r="L17" s="29">
        <f>K17/5.1</f>
        <v/>
      </c>
    </row>
    <row r="18" ht="32" customHeight="1" s="26">
      <c r="G18" s="12">
        <f>K18/F18*100%</f>
        <v/>
      </c>
      <c r="H18" s="29">
        <f>(C18+D18)*5.1</f>
        <v/>
      </c>
      <c r="I18" s="29">
        <f>E18/10*1</f>
        <v/>
      </c>
      <c r="J18" s="29">
        <f>F18*0.15</f>
        <v/>
      </c>
      <c r="K18" s="29">
        <f>F18-J18-H18-I18</f>
        <v/>
      </c>
      <c r="L18" s="29">
        <f>K18/5.1</f>
        <v/>
      </c>
    </row>
    <row r="19" ht="32" customHeight="1" s="26">
      <c r="G19" s="12">
        <f>K19/F19*100%</f>
        <v/>
      </c>
      <c r="H19" s="29">
        <f>(C19+D19)*5.1</f>
        <v/>
      </c>
      <c r="I19" s="29">
        <f>E19/10*1</f>
        <v/>
      </c>
      <c r="J19" s="29">
        <f>F19*0.15</f>
        <v/>
      </c>
      <c r="K19" s="29">
        <f>F19-J19-H19-I19</f>
        <v/>
      </c>
      <c r="L19" s="29">
        <f>K19/5.1</f>
        <v/>
      </c>
    </row>
    <row r="20" ht="32" customHeight="1" s="26">
      <c r="G20" s="12">
        <f>K20/F20*100%</f>
        <v/>
      </c>
      <c r="H20" s="29">
        <f>(C20+D20)*5.1</f>
        <v/>
      </c>
      <c r="I20" s="29">
        <f>E20/10*1</f>
        <v/>
      </c>
      <c r="J20" s="29">
        <f>F20*0.15</f>
        <v/>
      </c>
      <c r="K20" s="29">
        <f>F20-J20-H20-I20</f>
        <v/>
      </c>
      <c r="L20" s="29">
        <f>K20/5.1</f>
        <v/>
      </c>
    </row>
  </sheetData>
  <mergeCells count="2">
    <mergeCell ref="A2:A3"/>
    <mergeCell ref="B1:L1"/>
  </mergeCells>
  <hyperlinks>
    <hyperlink xmlns:r="http://schemas.openxmlformats.org/officeDocument/2006/relationships" ref="B1" display="备注：&#10;1、M列【各项手续费】包括：小店手续费5%+汇损、提现、货损合计5%（估算）+泰国交易手续费3%或12泰铢，包裹成本指货物包装/面单成本&#10;2、人民币兑换泰铢汇率：5.1&#10;3、东南亚官方跨境物流成本价卡：TikTok Shop东南亚跨境物流成本价卡 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topLeftCell="B1" activePane="topRight" state="frozen"/>
      <selection activeCell="A1" sqref="A1"/>
      <selection pane="topRight" activeCell="A1" sqref="A1"/>
    </sheetView>
  </sheetViews>
  <sheetFormatPr baseColWidth="8" defaultColWidth="14" defaultRowHeight="15.2"/>
  <cols>
    <col width="34" customWidth="1" style="26" min="1" max="1"/>
    <col width="33" customWidth="1" style="26" min="2" max="2"/>
    <col width="17" customWidth="1" style="26" min="3" max="5"/>
    <col width="19" customWidth="1" style="26" min="6" max="12"/>
    <col width="13" customWidth="1" style="26" min="13" max="15"/>
  </cols>
  <sheetData>
    <row r="1" ht="106" customHeight="1" s="26">
      <c r="A1" s="1" t="inlineStr">
        <is>
          <t>小店产品定价表</t>
        </is>
      </c>
      <c r="B1" s="14" t="inlineStr">
        <is>
          <t xml:space="preserve">备注：
1、J列【各项手续费】包括：小店手续费5%+汇损、提现、货损5%（估算），包裹成本指货物包装/面单成本
2、人民币对越南盾汇率：3464.7
3、东南亚官方跨境物流成本价卡：TikTok Shop东南亚跨境物流成本价卡 </t>
        </is>
      </c>
    </row>
    <row r="2" ht="54" customHeight="1" s="26">
      <c r="A2" s="4" t="inlineStr">
        <is>
          <t>产品名称</t>
        </is>
      </c>
      <c r="B2" s="5" t="inlineStr">
        <is>
          <t>sku</t>
        </is>
      </c>
      <c r="C2" s="5" t="inlineStr">
        <is>
          <t>手动填写</t>
        </is>
      </c>
      <c r="D2" s="5" t="inlineStr">
        <is>
          <t>手动填写</t>
        </is>
      </c>
      <c r="E2" s="5" t="inlineStr">
        <is>
          <t>手动填写</t>
        </is>
      </c>
      <c r="F2" s="16" t="inlineStr">
        <is>
          <t>手动填写</t>
        </is>
      </c>
      <c r="G2" s="6" t="inlineStr">
        <is>
          <t>勿改</t>
        </is>
      </c>
      <c r="H2" s="17" t="inlineStr">
        <is>
          <t>勿改</t>
        </is>
      </c>
      <c r="I2" s="17" t="inlineStr">
        <is>
          <t>勿改</t>
        </is>
      </c>
      <c r="J2" s="17" t="inlineStr">
        <is>
          <t>勿改</t>
        </is>
      </c>
      <c r="K2" s="17" t="inlineStr">
        <is>
          <t>勿改</t>
        </is>
      </c>
      <c r="L2" s="6" t="inlineStr">
        <is>
          <t>勿改</t>
        </is>
      </c>
    </row>
    <row r="3" ht="54" customHeight="1" s="26">
      <c r="B3" s="8" t="inlineStr">
        <is>
          <t>样式</t>
        </is>
      </c>
      <c r="C3" s="8" t="inlineStr">
        <is>
          <t>进价￥</t>
        </is>
      </c>
      <c r="D3" s="8" t="inlineStr">
        <is>
          <t>包裹成本￥</t>
        </is>
      </c>
      <c r="E3" s="8" t="inlineStr">
        <is>
          <t>实重 g</t>
        </is>
      </c>
      <c r="F3" s="18" t="inlineStr">
        <is>
          <t>本地展示价 VND</t>
        </is>
      </c>
      <c r="G3" s="8" t="inlineStr">
        <is>
          <t>毛利率</t>
        </is>
      </c>
      <c r="H3" s="18" t="inlineStr">
        <is>
          <t>进价+包裹成本VND</t>
        </is>
      </c>
      <c r="I3" s="18" t="inlineStr">
        <is>
          <t>跨境物流成本VND</t>
        </is>
      </c>
      <c r="J3" s="18" t="inlineStr">
        <is>
          <t>各项手续费VND</t>
        </is>
      </c>
      <c r="K3" s="18" t="inlineStr">
        <is>
          <t>利润VND</t>
        </is>
      </c>
      <c r="L3" s="8" t="inlineStr">
        <is>
          <t>利润￥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15</v>
      </c>
      <c r="D4" s="10" t="n">
        <v>1</v>
      </c>
      <c r="E4" s="10" t="n">
        <v>400</v>
      </c>
      <c r="F4" s="19" t="n">
        <v>1200000</v>
      </c>
      <c r="G4" s="12">
        <f>K4/F4*100%</f>
        <v/>
      </c>
      <c r="H4" s="20">
        <f>(C4+D4)*3464.7</f>
        <v/>
      </c>
      <c r="I4" s="20">
        <f>E4/10*900</f>
        <v/>
      </c>
      <c r="J4" s="20">
        <f>F4*0.1</f>
        <v/>
      </c>
      <c r="K4" s="20">
        <f>F4-J4-H4-I4</f>
        <v/>
      </c>
      <c r="L4" s="29">
        <f>K4/3464.7</f>
        <v/>
      </c>
    </row>
    <row r="5" ht="32" customHeight="1" s="26">
      <c r="G5" s="12">
        <f>K5/F5*100%</f>
        <v/>
      </c>
      <c r="H5" s="20">
        <f>(C5+D5)*3464.7</f>
        <v/>
      </c>
      <c r="I5" s="20">
        <f>E5/10*900</f>
        <v/>
      </c>
      <c r="J5" s="20">
        <f>F5*0.1</f>
        <v/>
      </c>
      <c r="K5" s="20">
        <f>F5-J5-H5-I5</f>
        <v/>
      </c>
      <c r="L5" s="29">
        <f>K5/3464.7</f>
        <v/>
      </c>
    </row>
    <row r="6" ht="32" customHeight="1" s="26">
      <c r="G6" s="12">
        <f>K6/F6*100%</f>
        <v/>
      </c>
      <c r="H6" s="20">
        <f>(C6+D6)*3464.7</f>
        <v/>
      </c>
      <c r="I6" s="20">
        <f>E6/10*900</f>
        <v/>
      </c>
      <c r="J6" s="20">
        <f>F6*0.1</f>
        <v/>
      </c>
      <c r="K6" s="20">
        <f>F6-J6-H6-I6</f>
        <v/>
      </c>
      <c r="L6" s="29">
        <f>K6/3464.7</f>
        <v/>
      </c>
    </row>
    <row r="7" ht="32" customHeight="1" s="26">
      <c r="G7" s="12">
        <f>K7/F7*100%</f>
        <v/>
      </c>
      <c r="H7" s="20">
        <f>(C7+D7)*3464.7</f>
        <v/>
      </c>
      <c r="I7" s="20">
        <f>E7/10*900</f>
        <v/>
      </c>
      <c r="J7" s="20">
        <f>F7*0.1</f>
        <v/>
      </c>
      <c r="K7" s="20">
        <f>F7-J7-H7-I7</f>
        <v/>
      </c>
      <c r="L7" s="29">
        <f>K7/3464.7</f>
        <v/>
      </c>
    </row>
    <row r="8" ht="32" customHeight="1" s="26">
      <c r="G8" s="12">
        <f>K8/F8*100%</f>
        <v/>
      </c>
      <c r="H8" s="20">
        <f>(C8+D8)*3464.7</f>
        <v/>
      </c>
      <c r="I8" s="20">
        <f>E8/10*900</f>
        <v/>
      </c>
      <c r="J8" s="20">
        <f>F8*0.1</f>
        <v/>
      </c>
      <c r="K8" s="20">
        <f>F8-J8-H8-I8</f>
        <v/>
      </c>
      <c r="L8" s="29">
        <f>K8/3464.7</f>
        <v/>
      </c>
    </row>
    <row r="9" ht="32" customHeight="1" s="26">
      <c r="G9" s="12">
        <f>K9/F9*100%</f>
        <v/>
      </c>
      <c r="H9" s="20">
        <f>(C9+D9)*3464.7</f>
        <v/>
      </c>
      <c r="I9" s="20">
        <f>E9/10*900</f>
        <v/>
      </c>
      <c r="J9" s="20">
        <f>F9*0.1</f>
        <v/>
      </c>
      <c r="K9" s="20">
        <f>F9-J9-H9-I9</f>
        <v/>
      </c>
      <c r="L9" s="29">
        <f>K9/3464.7</f>
        <v/>
      </c>
    </row>
    <row r="10" ht="32" customHeight="1" s="26">
      <c r="G10" s="12">
        <f>K10/F10*100%</f>
        <v/>
      </c>
      <c r="H10" s="20">
        <f>(C10+D10)*3464.7</f>
        <v/>
      </c>
      <c r="I10" s="20">
        <f>E10/10*900</f>
        <v/>
      </c>
      <c r="J10" s="20">
        <f>F10*0.1</f>
        <v/>
      </c>
      <c r="K10" s="20">
        <f>F10-J10-H10-I10</f>
        <v/>
      </c>
      <c r="L10" s="29">
        <f>K10/3464.7</f>
        <v/>
      </c>
    </row>
    <row r="11" ht="32" customHeight="1" s="26">
      <c r="G11" s="12">
        <f>K11/F11*100%</f>
        <v/>
      </c>
      <c r="H11" s="20">
        <f>(C11+D11)*3464.7</f>
        <v/>
      </c>
      <c r="I11" s="20">
        <f>E11/10*900</f>
        <v/>
      </c>
      <c r="J11" s="20">
        <f>F11*0.1</f>
        <v/>
      </c>
      <c r="K11" s="20">
        <f>F11-J11-H11-I11</f>
        <v/>
      </c>
      <c r="L11" s="29">
        <f>K11/3464.7</f>
        <v/>
      </c>
    </row>
    <row r="12" ht="32" customHeight="1" s="26">
      <c r="G12" s="12">
        <f>K12/F12*100%</f>
        <v/>
      </c>
      <c r="H12" s="20">
        <f>(C12+D12)*3464.7</f>
        <v/>
      </c>
      <c r="I12" s="20">
        <f>E12/10*900</f>
        <v/>
      </c>
      <c r="J12" s="20">
        <f>F12*0.1</f>
        <v/>
      </c>
      <c r="K12" s="20">
        <f>F12-J12-H12-I12</f>
        <v/>
      </c>
      <c r="L12" s="29">
        <f>K12/3464.7</f>
        <v/>
      </c>
    </row>
    <row r="13" ht="32" customHeight="1" s="26">
      <c r="G13" s="12">
        <f>K13/F13*100%</f>
        <v/>
      </c>
      <c r="H13" s="20">
        <f>(C13+D13)*3464.7</f>
        <v/>
      </c>
      <c r="I13" s="20">
        <f>E13/10*900</f>
        <v/>
      </c>
      <c r="J13" s="20">
        <f>F13*0.1</f>
        <v/>
      </c>
      <c r="K13" s="20">
        <f>F13-J13-H13-I13</f>
        <v/>
      </c>
      <c r="L13" s="29">
        <f>K13/3464.7</f>
        <v/>
      </c>
    </row>
    <row r="14" ht="32" customHeight="1" s="26">
      <c r="G14" s="12">
        <f>K14/F14*100%</f>
        <v/>
      </c>
      <c r="H14" s="20">
        <f>(C14+D14)*3464.7</f>
        <v/>
      </c>
      <c r="I14" s="20">
        <f>E14/10*900</f>
        <v/>
      </c>
      <c r="J14" s="20">
        <f>F14*0.1</f>
        <v/>
      </c>
      <c r="K14" s="20">
        <f>F14-J14-H14-I14</f>
        <v/>
      </c>
      <c r="L14" s="29">
        <f>K14/3464.7</f>
        <v/>
      </c>
    </row>
    <row r="15" ht="32" customHeight="1" s="26">
      <c r="G15" s="12">
        <f>K15/F15*100%</f>
        <v/>
      </c>
      <c r="H15" s="20">
        <f>(C15+D15)*3464.7</f>
        <v/>
      </c>
      <c r="I15" s="20">
        <f>E15/10*900</f>
        <v/>
      </c>
      <c r="J15" s="20">
        <f>F15*0.1</f>
        <v/>
      </c>
      <c r="K15" s="20">
        <f>F15-J15-H15-I15</f>
        <v/>
      </c>
      <c r="L15" s="29">
        <f>K15/3464.7</f>
        <v/>
      </c>
    </row>
    <row r="16" ht="32" customHeight="1" s="26">
      <c r="G16" s="12">
        <f>K16/F16*100%</f>
        <v/>
      </c>
      <c r="H16" s="20">
        <f>(C16+D16)*3464.7</f>
        <v/>
      </c>
      <c r="I16" s="20">
        <f>E16/10*900</f>
        <v/>
      </c>
      <c r="J16" s="20">
        <f>F16*0.1</f>
        <v/>
      </c>
      <c r="K16" s="20">
        <f>F16-J16-H16-I16</f>
        <v/>
      </c>
      <c r="L16" s="29">
        <f>K16/3464.7</f>
        <v/>
      </c>
    </row>
    <row r="17" ht="32" customHeight="1" s="26"/>
    <row r="18" ht="32" customHeight="1" s="26"/>
    <row r="19" ht="32" customHeight="1" s="26"/>
    <row r="20" ht="32" customHeight="1" s="26"/>
  </sheetData>
  <mergeCells count="2">
    <mergeCell ref="A2:A3"/>
    <mergeCell ref="B1:L1"/>
  </mergeCells>
  <hyperlinks>
    <hyperlink xmlns:r="http://schemas.openxmlformats.org/officeDocument/2006/relationships" ref="B1" display="备注：&#10;1、J列【各项手续费】包括：小店手续费5%+汇损、提现、货损5%（估算），包裹成本指货物包装/面单成本&#10;2、人民币对越南盾汇率：3464.7&#10;3、东南亚官方跨境物流成本价卡：TikTok Shop东南亚跨境物流成本价卡 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pane xSplit="1" topLeftCell="B1" activePane="topRight" state="frozen"/>
      <selection activeCell="A1" sqref="A1"/>
      <selection pane="topRight" activeCell="A1" sqref="A1"/>
    </sheetView>
  </sheetViews>
  <sheetFormatPr baseColWidth="8" defaultColWidth="14" defaultRowHeight="15.2"/>
  <cols>
    <col width="34" customWidth="1" style="26" min="1" max="1"/>
    <col width="10" customWidth="1" style="26" min="2" max="2"/>
    <col width="17" customWidth="1" style="26" min="3" max="5"/>
    <col width="19" customWidth="1" style="26" min="6" max="12"/>
    <col width="13" customWidth="1" style="26" min="13" max="15"/>
  </cols>
  <sheetData>
    <row r="1" ht="106" customHeight="1" s="26">
      <c r="A1" s="1" t="inlineStr">
        <is>
          <t>小店产品定价表</t>
        </is>
      </c>
      <c r="B1" s="14" t="inlineStr">
        <is>
          <t xml:space="preserve">备注：
1、O列【各项手续费】包括：小店手续费5%+汇损、提现、货损5%（估算），包裹成本指货物包装/面单成本
2、新加坡币兑人民币汇率：4.8
3、东南亚官方跨境物流成本价卡：TikTok Shop东南亚跨境物流成本价卡 </t>
        </is>
      </c>
    </row>
    <row r="2" ht="54" customHeight="1" s="26">
      <c r="A2" s="4" t="inlineStr">
        <is>
          <t>产品名称</t>
        </is>
      </c>
      <c r="B2" s="5" t="inlineStr">
        <is>
          <t>sku</t>
        </is>
      </c>
      <c r="C2" s="5" t="inlineStr">
        <is>
          <t>手动填写</t>
        </is>
      </c>
      <c r="D2" s="5" t="inlineStr">
        <is>
          <t>手动填写</t>
        </is>
      </c>
      <c r="E2" s="5" t="inlineStr">
        <is>
          <t>手动填写</t>
        </is>
      </c>
      <c r="F2" s="5" t="inlineStr">
        <is>
          <t>手动填写</t>
        </is>
      </c>
      <c r="G2" s="6" t="inlineStr">
        <is>
          <t>勿改</t>
        </is>
      </c>
      <c r="H2" s="6" t="inlineStr">
        <is>
          <t>勿改</t>
        </is>
      </c>
      <c r="I2" s="6" t="inlineStr">
        <is>
          <t>勿改</t>
        </is>
      </c>
      <c r="J2" s="6" t="inlineStr">
        <is>
          <t>勿改</t>
        </is>
      </c>
      <c r="K2" s="6" t="inlineStr">
        <is>
          <t>勿改</t>
        </is>
      </c>
      <c r="L2" s="6" t="inlineStr">
        <is>
          <t>勿改</t>
        </is>
      </c>
    </row>
    <row r="3" ht="54" customHeight="1" s="26">
      <c r="B3" s="8" t="inlineStr">
        <is>
          <t>样式</t>
        </is>
      </c>
      <c r="C3" s="8" t="inlineStr">
        <is>
          <t>进价￥</t>
        </is>
      </c>
      <c r="D3" s="8" t="inlineStr">
        <is>
          <t>包裹成本￥</t>
        </is>
      </c>
      <c r="E3" s="8" t="inlineStr">
        <is>
          <t>实重 g</t>
        </is>
      </c>
      <c r="F3" s="8" t="inlineStr">
        <is>
          <t>本地展示价 SGD</t>
        </is>
      </c>
      <c r="G3" s="8" t="inlineStr">
        <is>
          <t>毛利率</t>
        </is>
      </c>
      <c r="H3" s="8" t="inlineStr">
        <is>
          <t>进价+包裹成本SGD</t>
        </is>
      </c>
      <c r="I3" s="8" t="inlineStr">
        <is>
          <t>跨境物流成本SGD</t>
        </is>
      </c>
      <c r="J3" s="8" t="inlineStr">
        <is>
          <t>各项手续费SGD</t>
        </is>
      </c>
      <c r="K3" s="8" t="inlineStr">
        <is>
          <t>利润SGD</t>
        </is>
      </c>
      <c r="L3" s="8" t="inlineStr">
        <is>
          <t>利润￥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15</v>
      </c>
      <c r="D4" s="10" t="n">
        <v>1</v>
      </c>
      <c r="E4" s="10" t="n">
        <v>400</v>
      </c>
      <c r="F4" s="10" t="n">
        <v>29</v>
      </c>
      <c r="G4" s="12">
        <f>K4/F4*100%</f>
        <v/>
      </c>
      <c r="H4" s="29">
        <f>(C4+D4)/4.8</f>
        <v/>
      </c>
      <c r="I4" s="29">
        <f>(E4-50)/10*0.15+0.7</f>
        <v/>
      </c>
      <c r="J4" s="29">
        <f>F4*0.1</f>
        <v/>
      </c>
      <c r="K4" s="29">
        <f>F4-J4-H4-I4</f>
        <v/>
      </c>
      <c r="L4" s="29">
        <f>K4*4.8</f>
        <v/>
      </c>
    </row>
    <row r="5" ht="32" customHeight="1" s="26">
      <c r="G5" s="12">
        <f>K5/F5*100%</f>
        <v/>
      </c>
      <c r="H5" s="29">
        <f>(C5+D5)/4.8</f>
        <v/>
      </c>
      <c r="I5" s="29">
        <f>(E5-50)/10*0.15+0.7</f>
        <v/>
      </c>
      <c r="J5" s="29">
        <f>F5*0.1</f>
        <v/>
      </c>
      <c r="K5" s="29">
        <f>F5-J5-H5-I5</f>
        <v/>
      </c>
      <c r="L5" s="29">
        <f>K5*4.8</f>
        <v/>
      </c>
    </row>
    <row r="6" ht="32" customHeight="1" s="26">
      <c r="G6" s="12">
        <f>K6/F6*100%</f>
        <v/>
      </c>
      <c r="H6" s="29">
        <f>(C6+D6)/4.8</f>
        <v/>
      </c>
      <c r="I6" s="29">
        <f>(E6-50)/10*0.15+0.7</f>
        <v/>
      </c>
      <c r="J6" s="29">
        <f>F6*0.1</f>
        <v/>
      </c>
      <c r="K6" s="29">
        <f>F6-J6-H6-I6</f>
        <v/>
      </c>
      <c r="L6" s="29">
        <f>K6*4.8</f>
        <v/>
      </c>
    </row>
    <row r="7" ht="32" customHeight="1" s="26">
      <c r="G7" s="12">
        <f>K7/F7*100%</f>
        <v/>
      </c>
      <c r="H7" s="29">
        <f>(C7+D7)/4.8</f>
        <v/>
      </c>
      <c r="I7" s="29">
        <f>(E7-50)/10*0.15+0.7</f>
        <v/>
      </c>
      <c r="J7" s="29">
        <f>F7*0.1</f>
        <v/>
      </c>
      <c r="K7" s="29">
        <f>F7-J7-H7-I7</f>
        <v/>
      </c>
      <c r="L7" s="29">
        <f>K7*4.8</f>
        <v/>
      </c>
    </row>
    <row r="8" ht="32" customHeight="1" s="26">
      <c r="G8" s="12">
        <f>K8/F8*100%</f>
        <v/>
      </c>
      <c r="H8" s="29">
        <f>(C8+D8)/4.8</f>
        <v/>
      </c>
      <c r="I8" s="29">
        <f>(E8-50)/10*0.15+0.7</f>
        <v/>
      </c>
      <c r="J8" s="29">
        <f>F8*0.1</f>
        <v/>
      </c>
      <c r="K8" s="29">
        <f>F8-J8-H8-I8</f>
        <v/>
      </c>
      <c r="L8" s="29">
        <f>K8*4.8</f>
        <v/>
      </c>
    </row>
    <row r="9" ht="32" customHeight="1" s="26">
      <c r="G9" s="12">
        <f>K9/F9*100%</f>
        <v/>
      </c>
      <c r="H9" s="29">
        <f>(C9+D9)/4.8</f>
        <v/>
      </c>
      <c r="I9" s="29">
        <f>(E9-50)/10*0.15+0.7</f>
        <v/>
      </c>
      <c r="J9" s="29">
        <f>F9*0.1</f>
        <v/>
      </c>
      <c r="K9" s="29">
        <f>F9-J9-H9-I9</f>
        <v/>
      </c>
      <c r="L9" s="29">
        <f>K9*4.8</f>
        <v/>
      </c>
    </row>
    <row r="10" ht="32" customHeight="1" s="26">
      <c r="G10" s="12">
        <f>K10/F10*100%</f>
        <v/>
      </c>
      <c r="H10" s="29">
        <f>(C10+D10)/4.8</f>
        <v/>
      </c>
      <c r="I10" s="29">
        <f>(E10-50)/10*0.15+0.7</f>
        <v/>
      </c>
      <c r="J10" s="29">
        <f>F10*0.1</f>
        <v/>
      </c>
      <c r="K10" s="29">
        <f>F10-J10-H10-I10</f>
        <v/>
      </c>
      <c r="L10" s="29">
        <f>K10*4.8</f>
        <v/>
      </c>
    </row>
    <row r="11" ht="32" customHeight="1" s="26">
      <c r="G11" s="12">
        <f>K11/F11*100%</f>
        <v/>
      </c>
      <c r="H11" s="29">
        <f>(C11+D11)/4.8</f>
        <v/>
      </c>
      <c r="I11" s="29">
        <f>(E11-50)/10*0.15+0.7</f>
        <v/>
      </c>
      <c r="J11" s="29">
        <f>F11*0.1</f>
        <v/>
      </c>
      <c r="K11" s="29">
        <f>F11-J11-H11-I11</f>
        <v/>
      </c>
      <c r="L11" s="29">
        <f>K11*4.8</f>
        <v/>
      </c>
    </row>
    <row r="12" ht="32" customHeight="1" s="26">
      <c r="G12" s="12">
        <f>K12/F12*100%</f>
        <v/>
      </c>
      <c r="H12" s="29">
        <f>(C12+D12)/4.8</f>
        <v/>
      </c>
      <c r="I12" s="29">
        <f>(E12-50)/10*0.15+0.7</f>
        <v/>
      </c>
      <c r="J12" s="29">
        <f>F12*0.1</f>
        <v/>
      </c>
      <c r="K12" s="29">
        <f>F12-J12-H12-I12</f>
        <v/>
      </c>
      <c r="L12" s="29">
        <f>K12*4.8</f>
        <v/>
      </c>
    </row>
    <row r="13" ht="32" customHeight="1" s="26">
      <c r="G13" s="12">
        <f>K13/F13*100%</f>
        <v/>
      </c>
      <c r="H13" s="29">
        <f>(C13+D13)/4.8</f>
        <v/>
      </c>
      <c r="I13" s="29">
        <f>(E13-50)/10*0.15+0.7</f>
        <v/>
      </c>
      <c r="J13" s="29">
        <f>F13*0.1</f>
        <v/>
      </c>
      <c r="K13" s="29">
        <f>F13-J13-H13-I13</f>
        <v/>
      </c>
      <c r="L13" s="29">
        <f>K13*4.8</f>
        <v/>
      </c>
    </row>
    <row r="14" ht="32" customHeight="1" s="26">
      <c r="G14" s="12">
        <f>K14/F14*100%</f>
        <v/>
      </c>
      <c r="H14" s="29">
        <f>(C14+D14)/4.8</f>
        <v/>
      </c>
      <c r="I14" s="29">
        <f>(E14-50)/10*0.15+0.7</f>
        <v/>
      </c>
      <c r="J14" s="29">
        <f>F14*0.1</f>
        <v/>
      </c>
      <c r="K14" s="29">
        <f>F14-J14-H14-I14</f>
        <v/>
      </c>
      <c r="L14" s="29">
        <f>K14*4.8</f>
        <v/>
      </c>
    </row>
    <row r="15" ht="32" customHeight="1" s="26">
      <c r="G15" s="12">
        <f>K15/F15*100%</f>
        <v/>
      </c>
      <c r="H15" s="29">
        <f>(C15+D15)/4.8</f>
        <v/>
      </c>
      <c r="I15" s="29">
        <f>(E15-50)/10*0.15+0.7</f>
        <v/>
      </c>
      <c r="J15" s="29">
        <f>F15*0.1</f>
        <v/>
      </c>
      <c r="K15" s="29">
        <f>F15-J15-H15-I15</f>
        <v/>
      </c>
      <c r="L15" s="29">
        <f>K15*4.8</f>
        <v/>
      </c>
    </row>
    <row r="16" ht="32" customHeight="1" s="26">
      <c r="G16" s="12">
        <f>K16/F16*100%</f>
        <v/>
      </c>
      <c r="H16" s="29">
        <f>(C16+D16)/4.8</f>
        <v/>
      </c>
      <c r="I16" s="29">
        <f>(E16-50)/10*0.15+0.7</f>
        <v/>
      </c>
      <c r="J16" s="29">
        <f>F16*0.1</f>
        <v/>
      </c>
      <c r="K16" s="29">
        <f>F16-J16-H16-I16</f>
        <v/>
      </c>
      <c r="L16" s="29">
        <f>K16*4.8</f>
        <v/>
      </c>
    </row>
    <row r="17" ht="32" customHeight="1" s="26">
      <c r="G17" s="12">
        <f>K17/F17*100%</f>
        <v/>
      </c>
      <c r="H17" s="29">
        <f>(C17+D17)/4.8</f>
        <v/>
      </c>
      <c r="I17" s="29">
        <f>(E17-50)/10*0.15+0.7</f>
        <v/>
      </c>
      <c r="J17" s="29">
        <f>F17*0.1</f>
        <v/>
      </c>
      <c r="K17" s="29">
        <f>F17-J17-H17-I17</f>
        <v/>
      </c>
      <c r="L17" s="29">
        <f>K17*4.8</f>
        <v/>
      </c>
    </row>
    <row r="18" ht="32" customHeight="1" s="26">
      <c r="G18" s="12">
        <f>K18/F18*100%</f>
        <v/>
      </c>
      <c r="H18" s="29">
        <f>(C18+D18)/4.8</f>
        <v/>
      </c>
      <c r="I18" s="29">
        <f>(E18-50)/10*0.15+0.7</f>
        <v/>
      </c>
      <c r="J18" s="29">
        <f>F18*0.1</f>
        <v/>
      </c>
      <c r="K18" s="29">
        <f>F18-J18-H18-I18</f>
        <v/>
      </c>
      <c r="L18" s="29">
        <f>K18*4.8</f>
        <v/>
      </c>
    </row>
    <row r="19" ht="32" customHeight="1" s="26">
      <c r="G19" s="12">
        <f>K19/F19*100%</f>
        <v/>
      </c>
      <c r="H19" s="29">
        <f>(C19+D19)/4.8</f>
        <v/>
      </c>
      <c r="I19" s="29">
        <f>(E19-50)/10*0.15+0.7</f>
        <v/>
      </c>
      <c r="J19" s="29">
        <f>F19*0.1</f>
        <v/>
      </c>
      <c r="K19" s="29">
        <f>F19-J19-H19-I19</f>
        <v/>
      </c>
      <c r="L19" s="29">
        <f>K19*4.8</f>
        <v/>
      </c>
    </row>
    <row r="20" ht="32" customHeight="1" s="26">
      <c r="G20" s="12">
        <f>K20/F20*100%</f>
        <v/>
      </c>
      <c r="H20" s="29">
        <f>(C20+D20)/4.8</f>
        <v/>
      </c>
      <c r="I20" s="29">
        <f>(E20-50)/10*0.15+0.7</f>
        <v/>
      </c>
      <c r="J20" s="29">
        <f>F20*0.1</f>
        <v/>
      </c>
      <c r="K20" s="29">
        <f>F20-J20-H20-I20</f>
        <v/>
      </c>
      <c r="L20" s="29">
        <f>K20*4.8</f>
        <v/>
      </c>
    </row>
    <row r="21" ht="17.6" customHeight="1" s="26">
      <c r="G21" s="12" t="n"/>
      <c r="H21" s="29" t="n"/>
    </row>
    <row r="22" ht="17.6" customHeight="1" s="26">
      <c r="G22" s="12" t="n"/>
      <c r="H22" s="29" t="n"/>
    </row>
    <row r="23" ht="17.6" customHeight="1" s="26">
      <c r="G23" s="12" t="n"/>
      <c r="H23" s="29" t="n"/>
    </row>
    <row r="24" ht="17.6" customHeight="1" s="26">
      <c r="G24" s="12" t="n"/>
      <c r="H24" s="29" t="n"/>
    </row>
    <row r="25" ht="17.6" customHeight="1" s="26">
      <c r="G25" s="12" t="n"/>
      <c r="H25" s="29" t="n"/>
    </row>
    <row r="26" ht="17.6" customHeight="1" s="26">
      <c r="G26" s="12" t="n"/>
      <c r="H26" s="29" t="n"/>
    </row>
    <row r="27" ht="17.6" customHeight="1" s="26">
      <c r="G27" s="12" t="n"/>
      <c r="H27" s="29" t="n"/>
    </row>
    <row r="28" ht="17.6" customHeight="1" s="26">
      <c r="G28" s="12" t="n"/>
      <c r="H28" s="29" t="n"/>
    </row>
    <row r="29" ht="17.6" customHeight="1" s="26">
      <c r="G29" s="12" t="n"/>
      <c r="H29" s="29" t="n"/>
    </row>
    <row r="30" ht="17.6" customHeight="1" s="26">
      <c r="G30" s="12" t="n"/>
      <c r="H30" s="29" t="n"/>
    </row>
    <row r="31" ht="17.6" customHeight="1" s="26">
      <c r="G31" s="12" t="n"/>
      <c r="H31" s="29" t="n"/>
    </row>
    <row r="32" ht="17.6" customHeight="1" s="26">
      <c r="G32" s="12" t="n"/>
      <c r="H32" s="29" t="n"/>
    </row>
    <row r="33" ht="17.6" customHeight="1" s="26">
      <c r="G33" s="12" t="n"/>
      <c r="H33" s="29" t="n"/>
    </row>
    <row r="34" ht="17.6" customHeight="1" s="26">
      <c r="G34" s="12" t="n"/>
      <c r="H34" s="29" t="n"/>
    </row>
    <row r="35" ht="17.6" customHeight="1" s="26">
      <c r="G35" s="12" t="n"/>
      <c r="H35" s="29" t="n"/>
    </row>
    <row r="36" ht="17.6" customHeight="1" s="26">
      <c r="G36" s="12" t="n"/>
      <c r="H36" s="29" t="n"/>
    </row>
    <row r="37" ht="17.6" customHeight="1" s="26">
      <c r="G37" s="12" t="n"/>
      <c r="H37" s="29" t="n"/>
    </row>
    <row r="38" ht="17.6" customHeight="1" s="26">
      <c r="G38" s="12" t="n"/>
      <c r="H38" s="29" t="n"/>
    </row>
    <row r="39" ht="17.6" customHeight="1" s="26">
      <c r="G39" s="12" t="n"/>
      <c r="H39" s="29" t="n"/>
    </row>
    <row r="40" ht="17.6" customHeight="1" s="26">
      <c r="G40" s="12" t="n"/>
      <c r="H40" s="29" t="n"/>
    </row>
    <row r="41" ht="17.6" customHeight="1" s="26">
      <c r="G41" s="12" t="n"/>
      <c r="H41" s="29" t="n"/>
    </row>
    <row r="42" ht="17.6" customHeight="1" s="26">
      <c r="G42" s="12" t="n"/>
      <c r="H42" s="29" t="n"/>
    </row>
    <row r="43" ht="17.6" customHeight="1" s="26">
      <c r="G43" s="12" t="n"/>
      <c r="H43" s="29" t="n"/>
    </row>
    <row r="44" ht="17.6" customHeight="1" s="26">
      <c r="G44" s="12" t="n"/>
      <c r="H44" s="29" t="n"/>
    </row>
    <row r="45" ht="17.6" customHeight="1" s="26">
      <c r="G45" s="12" t="n"/>
      <c r="H45" s="29" t="n"/>
    </row>
    <row r="46" ht="17.6" customHeight="1" s="26">
      <c r="G46" s="12" t="n"/>
      <c r="H46" s="29" t="n"/>
    </row>
    <row r="47" ht="17.6" customHeight="1" s="26">
      <c r="G47" s="12" t="n"/>
      <c r="H47" s="29" t="n"/>
    </row>
    <row r="48" ht="17.6" customHeight="1" s="26">
      <c r="G48" s="12" t="n"/>
      <c r="H48" s="29" t="n"/>
    </row>
    <row r="49" ht="17.6" customHeight="1" s="26">
      <c r="G49" s="12" t="n"/>
      <c r="H49" s="29" t="n"/>
    </row>
    <row r="50" ht="17.6" customHeight="1" s="26">
      <c r="G50" s="12" t="n"/>
      <c r="H50" s="29" t="n"/>
    </row>
    <row r="51" ht="17.6" customHeight="1" s="26">
      <c r="G51" s="12" t="n"/>
      <c r="H51" s="29" t="n"/>
    </row>
    <row r="52" ht="17.6" customHeight="1" s="26">
      <c r="G52" s="12" t="n"/>
      <c r="H52" s="29" t="n"/>
    </row>
    <row r="53" ht="17.6" customHeight="1" s="26">
      <c r="G53" s="12" t="n"/>
      <c r="H53" s="29" t="n"/>
    </row>
    <row r="54" ht="17.6" customHeight="1" s="26">
      <c r="G54" s="12" t="n"/>
      <c r="H54" s="29" t="n"/>
    </row>
    <row r="55" ht="17.6" customHeight="1" s="26">
      <c r="G55" s="12" t="n"/>
      <c r="H55" s="29" t="n"/>
    </row>
    <row r="56" ht="17.6" customHeight="1" s="26">
      <c r="G56" s="12" t="n"/>
      <c r="H56" s="29" t="n"/>
    </row>
    <row r="57" ht="17.6" customHeight="1" s="26">
      <c r="G57" s="12" t="n"/>
      <c r="H57" s="29" t="n"/>
    </row>
    <row r="58" ht="17.6" customHeight="1" s="26">
      <c r="G58" s="12" t="n"/>
      <c r="H58" s="29" t="n"/>
    </row>
    <row r="59" ht="17.6" customHeight="1" s="26">
      <c r="G59" s="12" t="n"/>
      <c r="H59" s="29" t="n"/>
    </row>
    <row r="60" ht="17.6" customHeight="1" s="26">
      <c r="G60" s="12" t="n"/>
      <c r="H60" s="29" t="n"/>
    </row>
    <row r="61" ht="17.6" customHeight="1" s="26">
      <c r="G61" s="12" t="n"/>
      <c r="H61" s="29" t="n"/>
    </row>
    <row r="62" ht="17.6" customHeight="1" s="26">
      <c r="G62" s="12" t="n"/>
      <c r="H62" s="29" t="n"/>
    </row>
    <row r="63" ht="17.6" customHeight="1" s="26">
      <c r="G63" s="12" t="n"/>
      <c r="H63" s="29" t="n"/>
    </row>
    <row r="64" ht="17.6" customHeight="1" s="26">
      <c r="G64" s="12" t="n"/>
      <c r="H64" s="29" t="n"/>
    </row>
    <row r="65" ht="17.6" customHeight="1" s="26">
      <c r="G65" s="12" t="n"/>
      <c r="H65" s="29" t="n"/>
    </row>
    <row r="66" ht="17.6" customHeight="1" s="26">
      <c r="G66" s="12" t="n"/>
      <c r="H66" s="29" t="n"/>
    </row>
    <row r="67" ht="17.6" customHeight="1" s="26">
      <c r="G67" s="12" t="n"/>
      <c r="H67" s="29" t="n"/>
    </row>
    <row r="68" ht="17.6" customHeight="1" s="26">
      <c r="G68" s="12" t="n"/>
      <c r="H68" s="29" t="n"/>
    </row>
    <row r="69" ht="17.6" customHeight="1" s="26">
      <c r="G69" s="12" t="n"/>
      <c r="H69" s="29" t="n"/>
    </row>
    <row r="70" ht="17.6" customHeight="1" s="26">
      <c r="G70" s="12" t="n"/>
      <c r="H70" s="29" t="n"/>
    </row>
    <row r="71" ht="17.6" customHeight="1" s="26">
      <c r="G71" s="12" t="n"/>
      <c r="H71" s="29" t="n"/>
    </row>
    <row r="72" ht="17.6" customHeight="1" s="26">
      <c r="G72" s="12" t="n"/>
      <c r="H72" s="29" t="n"/>
    </row>
    <row r="73" ht="17.6" customHeight="1" s="26">
      <c r="G73" s="12" t="n"/>
      <c r="H73" s="29" t="n"/>
    </row>
    <row r="74" ht="17.6" customHeight="1" s="26">
      <c r="G74" s="12" t="n"/>
      <c r="H74" s="29" t="n"/>
    </row>
    <row r="75" ht="17.6" customHeight="1" s="26">
      <c r="G75" s="12" t="n"/>
      <c r="H75" s="29" t="n"/>
    </row>
    <row r="76" ht="17.6" customHeight="1" s="26">
      <c r="G76" s="12" t="n"/>
      <c r="H76" s="29" t="n"/>
    </row>
    <row r="77" ht="17.6" customHeight="1" s="26">
      <c r="G77" s="12" t="n"/>
      <c r="H77" s="29" t="n"/>
    </row>
    <row r="78" ht="17.6" customHeight="1" s="26">
      <c r="G78" s="12" t="n"/>
      <c r="H78" s="29" t="n"/>
    </row>
    <row r="79" ht="17.6" customHeight="1" s="26">
      <c r="G79" s="12" t="n"/>
      <c r="H79" s="29" t="n"/>
    </row>
    <row r="80" ht="17.6" customHeight="1" s="26">
      <c r="G80" s="12" t="n"/>
      <c r="H80" s="29" t="n"/>
    </row>
    <row r="81" ht="17.6" customHeight="1" s="26">
      <c r="G81" s="12" t="n"/>
      <c r="H81" s="29" t="n"/>
    </row>
    <row r="82" ht="17.6" customHeight="1" s="26">
      <c r="G82" s="12" t="n"/>
      <c r="H82" s="29" t="n"/>
    </row>
    <row r="83" ht="17.6" customHeight="1" s="26">
      <c r="G83" s="12" t="n"/>
      <c r="H83" s="29" t="n"/>
    </row>
    <row r="84" ht="17.6" customHeight="1" s="26">
      <c r="G84" s="12" t="n"/>
      <c r="H84" s="29" t="n"/>
    </row>
    <row r="85" ht="17.6" customHeight="1" s="26">
      <c r="G85" s="12" t="n"/>
      <c r="H85" s="29" t="n"/>
    </row>
    <row r="86" ht="17.6" customHeight="1" s="26">
      <c r="G86" s="12" t="n"/>
      <c r="H86" s="29" t="n"/>
    </row>
    <row r="87" ht="17.6" customHeight="1" s="26">
      <c r="G87" s="12" t="n"/>
      <c r="H87" s="29" t="n"/>
    </row>
    <row r="88" ht="17.6" customHeight="1" s="26">
      <c r="G88" s="12" t="n"/>
      <c r="H88" s="29" t="n"/>
    </row>
    <row r="89" ht="17.6" customHeight="1" s="26">
      <c r="G89" s="12" t="n"/>
      <c r="H89" s="29" t="n"/>
    </row>
    <row r="90" ht="17.6" customHeight="1" s="26">
      <c r="G90" s="12" t="n"/>
      <c r="H90" s="29" t="n"/>
    </row>
    <row r="91" ht="17.6" customHeight="1" s="26">
      <c r="G91" s="12" t="n"/>
      <c r="H91" s="29" t="n"/>
    </row>
    <row r="92" ht="17.6" customHeight="1" s="26">
      <c r="G92" s="12" t="n"/>
      <c r="H92" s="29" t="n"/>
    </row>
    <row r="93" ht="17.6" customHeight="1" s="26">
      <c r="G93" s="12" t="n"/>
      <c r="H93" s="29" t="n"/>
    </row>
    <row r="94" ht="17.6" customHeight="1" s="26">
      <c r="G94" s="12" t="n"/>
      <c r="H94" s="29" t="n"/>
    </row>
    <row r="95" ht="17.6" customHeight="1" s="26">
      <c r="G95" s="12" t="n"/>
      <c r="H95" s="29" t="n"/>
    </row>
    <row r="96" ht="17.6" customHeight="1" s="26">
      <c r="G96" s="12" t="n"/>
      <c r="H96" s="29" t="n"/>
    </row>
    <row r="97" ht="17.6" customHeight="1" s="26">
      <c r="G97" s="12" t="n"/>
      <c r="H97" s="29" t="n"/>
    </row>
    <row r="98" ht="17.6" customHeight="1" s="26">
      <c r="G98" s="12" t="n"/>
      <c r="H98" s="29" t="n"/>
    </row>
    <row r="99" ht="17.6" customHeight="1" s="26">
      <c r="G99" s="12" t="n"/>
      <c r="H99" s="29" t="n"/>
    </row>
    <row r="100" ht="17.6" customHeight="1" s="26">
      <c r="G100" s="12" t="n"/>
      <c r="H100" s="29" t="n"/>
    </row>
    <row r="101" ht="17.6" customHeight="1" s="26">
      <c r="G101" s="12" t="n"/>
      <c r="H101" s="29" t="n"/>
    </row>
    <row r="102" ht="17.6" customHeight="1" s="26">
      <c r="G102" s="12" t="n"/>
      <c r="H102" s="29" t="n"/>
    </row>
    <row r="103" ht="17.6" customHeight="1" s="26">
      <c r="G103" s="12" t="n"/>
      <c r="H103" s="29" t="n"/>
    </row>
    <row r="104" ht="17.6" customHeight="1" s="26">
      <c r="G104" s="12" t="n"/>
      <c r="H104" s="29" t="n"/>
    </row>
    <row r="105" ht="17.6" customHeight="1" s="26">
      <c r="G105" s="12" t="n"/>
      <c r="H105" s="29" t="n"/>
    </row>
    <row r="106" ht="17.6" customHeight="1" s="26">
      <c r="G106" s="12" t="n"/>
      <c r="H106" s="29" t="n"/>
    </row>
    <row r="107" ht="17.6" customHeight="1" s="26">
      <c r="G107" s="12" t="n"/>
      <c r="H107" s="29" t="n"/>
    </row>
    <row r="108" ht="17.6" customHeight="1" s="26">
      <c r="G108" s="12" t="n"/>
      <c r="H108" s="29" t="n"/>
    </row>
    <row r="109" ht="17.6" customHeight="1" s="26">
      <c r="G109" s="12" t="n"/>
      <c r="H109" s="29" t="n"/>
    </row>
    <row r="110" ht="17.6" customHeight="1" s="26">
      <c r="G110" s="12" t="n"/>
      <c r="H110" s="29" t="n"/>
    </row>
    <row r="111" ht="17.6" customHeight="1" s="26">
      <c r="G111" s="12" t="n"/>
      <c r="H111" s="29" t="n"/>
    </row>
    <row r="112" ht="17.6" customHeight="1" s="26">
      <c r="G112" s="12" t="n"/>
      <c r="H112" s="29" t="n"/>
    </row>
    <row r="113" ht="17.6" customHeight="1" s="26">
      <c r="G113" s="12" t="n"/>
      <c r="H113" s="29" t="n"/>
    </row>
    <row r="114" ht="17.6" customHeight="1" s="26">
      <c r="G114" s="12" t="n"/>
      <c r="H114" s="29" t="n"/>
    </row>
    <row r="115" ht="17.6" customHeight="1" s="26">
      <c r="G115" s="12" t="n"/>
      <c r="H115" s="29" t="n"/>
    </row>
    <row r="116" ht="17.6" customHeight="1" s="26">
      <c r="G116" s="12" t="n"/>
      <c r="H116" s="29" t="n"/>
    </row>
    <row r="117" ht="17.6" customHeight="1" s="26">
      <c r="G117" s="12" t="n"/>
      <c r="H117" s="29" t="n"/>
    </row>
    <row r="118" ht="17.6" customHeight="1" s="26">
      <c r="G118" s="12" t="n"/>
      <c r="H118" s="29" t="n"/>
    </row>
    <row r="119" ht="17.6" customHeight="1" s="26">
      <c r="G119" s="12" t="n"/>
      <c r="H119" s="29" t="n"/>
    </row>
    <row r="120" ht="17.6" customHeight="1" s="26">
      <c r="G120" s="12" t="n"/>
      <c r="H120" s="29" t="n"/>
    </row>
    <row r="121" ht="17.6" customHeight="1" s="26">
      <c r="G121" s="12" t="n"/>
      <c r="H121" s="29" t="n"/>
    </row>
    <row r="122" ht="17.6" customHeight="1" s="26">
      <c r="G122" s="12" t="n"/>
      <c r="H122" s="29" t="n"/>
    </row>
    <row r="123" ht="17.6" customHeight="1" s="26">
      <c r="G123" s="12" t="n"/>
      <c r="H123" s="29" t="n"/>
    </row>
    <row r="124" ht="17.6" customHeight="1" s="26">
      <c r="G124" s="12" t="n"/>
      <c r="H124" s="29" t="n"/>
    </row>
    <row r="125" ht="17.6" customHeight="1" s="26">
      <c r="G125" s="12" t="n"/>
      <c r="H125" s="29" t="n"/>
    </row>
    <row r="126" ht="17.6" customHeight="1" s="26">
      <c r="G126" s="12" t="n"/>
      <c r="H126" s="29" t="n"/>
    </row>
    <row r="127" ht="17.6" customHeight="1" s="26">
      <c r="G127" s="12" t="n"/>
      <c r="H127" s="29" t="n"/>
    </row>
    <row r="128" ht="17.6" customHeight="1" s="26">
      <c r="G128" s="12" t="n"/>
      <c r="H128" s="29" t="n"/>
    </row>
    <row r="129" ht="17.6" customHeight="1" s="26">
      <c r="G129" s="12" t="n"/>
      <c r="H129" s="29" t="n"/>
    </row>
    <row r="130" ht="17.6" customHeight="1" s="26">
      <c r="G130" s="12" t="n"/>
      <c r="H130" s="29" t="n"/>
    </row>
    <row r="131" ht="17.6" customHeight="1" s="26">
      <c r="G131" s="12" t="n"/>
      <c r="H131" s="29" t="n"/>
    </row>
    <row r="132" ht="17.6" customHeight="1" s="26">
      <c r="G132" s="12" t="n"/>
      <c r="H132" s="29" t="n"/>
    </row>
    <row r="133" ht="17.6" customHeight="1" s="26">
      <c r="G133" s="12" t="n"/>
      <c r="H133" s="29" t="n"/>
    </row>
    <row r="134" ht="17.6" customHeight="1" s="26">
      <c r="G134" s="12" t="n"/>
      <c r="H134" s="29" t="n"/>
    </row>
    <row r="135" ht="17.6" customHeight="1" s="26">
      <c r="G135" s="12" t="n"/>
      <c r="H135" s="29" t="n"/>
    </row>
    <row r="136" ht="17.6" customHeight="1" s="26">
      <c r="G136" s="12" t="n"/>
      <c r="H136" s="29" t="n"/>
    </row>
    <row r="137" ht="17.6" customHeight="1" s="26">
      <c r="G137" s="12" t="n"/>
      <c r="H137" s="29" t="n"/>
    </row>
    <row r="138" ht="17.6" customHeight="1" s="26">
      <c r="G138" s="12" t="n"/>
      <c r="H138" s="29" t="n"/>
    </row>
    <row r="139" ht="17.6" customHeight="1" s="26">
      <c r="G139" s="12" t="n"/>
      <c r="H139" s="29" t="n"/>
    </row>
    <row r="140" ht="17.6" customHeight="1" s="26">
      <c r="G140" s="12" t="n"/>
      <c r="H140" s="29" t="n"/>
    </row>
    <row r="141" ht="17.6" customHeight="1" s="26">
      <c r="G141" s="12" t="n"/>
      <c r="H141" s="29" t="n"/>
    </row>
    <row r="142" ht="17.6" customHeight="1" s="26">
      <c r="G142" s="12" t="n"/>
      <c r="H142" s="29" t="n"/>
    </row>
    <row r="143" ht="17.6" customHeight="1" s="26">
      <c r="G143" s="12" t="n"/>
      <c r="H143" s="29" t="n"/>
    </row>
    <row r="144" ht="17.6" customHeight="1" s="26">
      <c r="G144" s="12" t="n"/>
      <c r="H144" s="29" t="n"/>
    </row>
    <row r="145" ht="17.6" customHeight="1" s="26">
      <c r="G145" s="12" t="n"/>
      <c r="H145" s="29" t="n"/>
    </row>
    <row r="146" ht="17.6" customHeight="1" s="26">
      <c r="G146" s="12" t="n"/>
      <c r="H146" s="29" t="n"/>
    </row>
    <row r="147" ht="17.6" customHeight="1" s="26">
      <c r="G147" s="12" t="n"/>
      <c r="H147" s="29" t="n"/>
    </row>
    <row r="148" ht="17.6" customHeight="1" s="26">
      <c r="G148" s="12" t="n"/>
      <c r="H148" s="29" t="n"/>
    </row>
    <row r="149" ht="17.6" customHeight="1" s="26">
      <c r="G149" s="12" t="n"/>
      <c r="H149" s="29" t="n"/>
    </row>
    <row r="150" ht="17.6" customHeight="1" s="26">
      <c r="G150" s="12" t="n"/>
      <c r="H150" s="29" t="n"/>
    </row>
    <row r="151" ht="17.6" customHeight="1" s="26">
      <c r="G151" s="12" t="n"/>
      <c r="H151" s="29" t="n"/>
    </row>
    <row r="152" ht="17.6" customHeight="1" s="26">
      <c r="G152" s="12" t="n"/>
      <c r="H152" s="29" t="n"/>
    </row>
    <row r="153" ht="17.6" customHeight="1" s="26">
      <c r="G153" s="12" t="n"/>
      <c r="H153" s="29" t="n"/>
    </row>
    <row r="154" ht="17.6" customHeight="1" s="26">
      <c r="G154" s="12" t="n"/>
      <c r="H154" s="29" t="n"/>
    </row>
    <row r="155" ht="17.6" customHeight="1" s="26">
      <c r="G155" s="12" t="n"/>
      <c r="H155" s="29" t="n"/>
    </row>
    <row r="156" ht="17.6" customHeight="1" s="26">
      <c r="G156" s="12" t="n"/>
      <c r="H156" s="29" t="n"/>
    </row>
    <row r="157" ht="17.6" customHeight="1" s="26">
      <c r="G157" s="12" t="n"/>
      <c r="H157" s="29" t="n"/>
    </row>
    <row r="158" ht="17.6" customHeight="1" s="26">
      <c r="G158" s="12" t="n"/>
      <c r="H158" s="29" t="n"/>
    </row>
    <row r="159" ht="17.6" customHeight="1" s="26">
      <c r="G159" s="12" t="n"/>
      <c r="H159" s="29" t="n"/>
    </row>
    <row r="160" ht="17.6" customHeight="1" s="26">
      <c r="G160" s="12" t="n"/>
      <c r="H160" s="29" t="n"/>
    </row>
    <row r="161" ht="17.6" customHeight="1" s="26">
      <c r="G161" s="12" t="n"/>
      <c r="H161" s="29" t="n"/>
    </row>
    <row r="162" ht="17.6" customHeight="1" s="26">
      <c r="G162" s="12" t="n"/>
      <c r="H162" s="29" t="n"/>
    </row>
    <row r="163" ht="17.6" customHeight="1" s="26">
      <c r="G163" s="12" t="n"/>
      <c r="H163" s="29" t="n"/>
    </row>
    <row r="164" ht="17.6" customHeight="1" s="26">
      <c r="G164" s="12" t="n"/>
      <c r="H164" s="29" t="n"/>
    </row>
    <row r="165" ht="17.6" customHeight="1" s="26">
      <c r="G165" s="12" t="n"/>
      <c r="H165" s="29" t="n"/>
    </row>
    <row r="166" ht="17.6" customHeight="1" s="26">
      <c r="G166" s="12" t="n"/>
      <c r="H166" s="29" t="n"/>
    </row>
    <row r="167" ht="17.6" customHeight="1" s="26">
      <c r="G167" s="12" t="n"/>
      <c r="H167" s="29" t="n"/>
    </row>
    <row r="168" ht="17.6" customHeight="1" s="26">
      <c r="G168" s="12" t="n"/>
      <c r="H168" s="29" t="n"/>
    </row>
    <row r="169" ht="17.6" customHeight="1" s="26">
      <c r="G169" s="12" t="n"/>
      <c r="H169" s="29" t="n"/>
    </row>
    <row r="170" ht="17.6" customHeight="1" s="26">
      <c r="G170" s="12" t="n"/>
      <c r="H170" s="29" t="n"/>
    </row>
    <row r="171" ht="17.6" customHeight="1" s="26">
      <c r="G171" s="12" t="n"/>
      <c r="H171" s="29" t="n"/>
    </row>
    <row r="172" ht="17.6" customHeight="1" s="26">
      <c r="G172" s="12" t="n"/>
      <c r="H172" s="29" t="n"/>
    </row>
    <row r="173" ht="17.6" customHeight="1" s="26">
      <c r="G173" s="12" t="n"/>
      <c r="H173" s="29" t="n"/>
    </row>
    <row r="174" ht="17.6" customHeight="1" s="26">
      <c r="G174" s="12" t="n"/>
      <c r="H174" s="29" t="n"/>
    </row>
    <row r="175" ht="17.6" customHeight="1" s="26">
      <c r="G175" s="12" t="n"/>
      <c r="H175" s="29" t="n"/>
    </row>
    <row r="176" ht="17.6" customHeight="1" s="26">
      <c r="G176" s="12" t="n"/>
      <c r="H176" s="29" t="n"/>
    </row>
    <row r="177" ht="17.6" customHeight="1" s="26">
      <c r="G177" s="12" t="n"/>
      <c r="H177" s="29" t="n"/>
    </row>
    <row r="178" ht="17.6" customHeight="1" s="26">
      <c r="G178" s="12" t="n"/>
      <c r="H178" s="29" t="n"/>
    </row>
    <row r="179" ht="17.6" customHeight="1" s="26">
      <c r="G179" s="12" t="n"/>
      <c r="H179" s="29" t="n"/>
    </row>
    <row r="180" ht="17.6" customHeight="1" s="26">
      <c r="G180" s="12" t="n"/>
      <c r="H180" s="29" t="n"/>
    </row>
    <row r="181" ht="17.6" customHeight="1" s="26">
      <c r="G181" s="12" t="n"/>
      <c r="H181" s="29" t="n"/>
    </row>
    <row r="182" ht="17.6" customHeight="1" s="26">
      <c r="G182" s="12" t="n"/>
      <c r="H182" s="29" t="n"/>
    </row>
    <row r="183" ht="17.6" customHeight="1" s="26">
      <c r="G183" s="12" t="n"/>
      <c r="H183" s="29" t="n"/>
    </row>
    <row r="184" ht="17.6" customHeight="1" s="26">
      <c r="G184" s="12" t="n"/>
      <c r="H184" s="29" t="n"/>
    </row>
    <row r="185" ht="17.6" customHeight="1" s="26">
      <c r="G185" s="12" t="n"/>
      <c r="H185" s="29" t="n"/>
    </row>
    <row r="186" ht="17.6" customHeight="1" s="26">
      <c r="G186" s="12" t="n"/>
      <c r="H186" s="29" t="n"/>
    </row>
    <row r="187" ht="17.6" customHeight="1" s="26">
      <c r="G187" s="12" t="n"/>
      <c r="H187" s="29" t="n"/>
    </row>
    <row r="188" ht="17.6" customHeight="1" s="26">
      <c r="G188" s="12" t="n"/>
      <c r="H188" s="29" t="n"/>
    </row>
    <row r="189" ht="17.6" customHeight="1" s="26">
      <c r="G189" s="12" t="n"/>
      <c r="H189" s="29" t="n"/>
    </row>
    <row r="190" ht="17.6" customHeight="1" s="26">
      <c r="G190" s="12" t="n"/>
      <c r="H190" s="29" t="n"/>
    </row>
    <row r="191" ht="17.6" customHeight="1" s="26">
      <c r="G191" s="12" t="n"/>
      <c r="H191" s="29" t="n"/>
    </row>
    <row r="192" ht="17.6" customHeight="1" s="26">
      <c r="G192" s="12" t="n"/>
      <c r="H192" s="29" t="n"/>
    </row>
    <row r="193" ht="17.6" customHeight="1" s="26">
      <c r="G193" s="12" t="n"/>
      <c r="H193" s="29" t="n"/>
    </row>
    <row r="194" ht="17.6" customHeight="1" s="26">
      <c r="G194" s="12" t="n"/>
      <c r="H194" s="29" t="n"/>
    </row>
    <row r="195" ht="17.6" customHeight="1" s="26">
      <c r="G195" s="12" t="n"/>
      <c r="H195" s="29" t="n"/>
    </row>
    <row r="196" ht="17.6" customHeight="1" s="26">
      <c r="G196" s="12" t="n"/>
      <c r="H196" s="29" t="n"/>
    </row>
    <row r="197" ht="17.6" customHeight="1" s="26">
      <c r="G197" s="12" t="n"/>
      <c r="H197" s="29" t="n"/>
    </row>
    <row r="198" ht="17.6" customHeight="1" s="26">
      <c r="G198" s="12" t="n"/>
      <c r="H198" s="29" t="n"/>
    </row>
    <row r="199" ht="17.6" customHeight="1" s="26">
      <c r="G199" s="12" t="n"/>
      <c r="H199" s="29" t="n"/>
    </row>
    <row r="200" ht="17.6" customHeight="1" s="26">
      <c r="G200" s="12" t="n"/>
      <c r="H200" s="29" t="n"/>
    </row>
    <row r="201" ht="17.6" customHeight="1" s="26">
      <c r="G201" s="12" t="n"/>
      <c r="H201" s="29" t="n"/>
    </row>
    <row r="202" ht="17.6" customHeight="1" s="26">
      <c r="G202" s="12" t="n"/>
      <c r="H202" s="29" t="n"/>
    </row>
    <row r="203" ht="17.6" customHeight="1" s="26">
      <c r="G203" s="12" t="n"/>
      <c r="H203" s="29" t="n"/>
    </row>
    <row r="204" ht="17.6" customHeight="1" s="26">
      <c r="G204" s="12" t="n"/>
      <c r="H204" s="29" t="n"/>
    </row>
    <row r="205" ht="17.6" customHeight="1" s="26">
      <c r="G205" s="12" t="n"/>
      <c r="H205" s="29" t="n"/>
    </row>
    <row r="206" ht="17.6" customHeight="1" s="26">
      <c r="G206" s="12" t="n"/>
      <c r="H206" s="29" t="n"/>
    </row>
    <row r="207" ht="17.6" customHeight="1" s="26">
      <c r="G207" s="12" t="n"/>
      <c r="H207" s="29" t="n"/>
    </row>
    <row r="208" ht="17.6" customHeight="1" s="26">
      <c r="G208" s="12" t="n"/>
      <c r="H208" s="29" t="n"/>
    </row>
    <row r="209" ht="17.6" customHeight="1" s="26">
      <c r="G209" s="12" t="n"/>
      <c r="H209" s="29" t="n"/>
    </row>
    <row r="210" ht="17.6" customHeight="1" s="26">
      <c r="G210" s="12" t="n"/>
      <c r="H210" s="29" t="n"/>
    </row>
    <row r="211" ht="17.6" customHeight="1" s="26">
      <c r="G211" s="12" t="n"/>
      <c r="H211" s="29" t="n"/>
    </row>
    <row r="212" ht="17.6" customHeight="1" s="26">
      <c r="G212" s="12" t="n"/>
      <c r="H212" s="29" t="n"/>
    </row>
    <row r="213" ht="17.6" customHeight="1" s="26">
      <c r="G213" s="12" t="n"/>
      <c r="H213" s="29" t="n"/>
    </row>
    <row r="214" ht="17.6" customHeight="1" s="26">
      <c r="G214" s="12" t="n"/>
      <c r="H214" s="29" t="n"/>
    </row>
    <row r="215" ht="17.6" customHeight="1" s="26">
      <c r="G215" s="12" t="n"/>
      <c r="H215" s="29" t="n"/>
    </row>
    <row r="216" ht="17.6" customHeight="1" s="26">
      <c r="G216" s="12" t="n"/>
      <c r="H216" s="29" t="n"/>
    </row>
    <row r="217" ht="17.6" customHeight="1" s="26">
      <c r="G217" s="12" t="n"/>
      <c r="H217" s="29" t="n"/>
    </row>
    <row r="218" ht="17.6" customHeight="1" s="26">
      <c r="G218" s="12" t="n"/>
      <c r="H218" s="29" t="n"/>
    </row>
    <row r="219" ht="17.6" customHeight="1" s="26">
      <c r="G219" s="12" t="n"/>
      <c r="H219" s="29" t="n"/>
    </row>
    <row r="220" ht="17.6" customHeight="1" s="26">
      <c r="G220" s="12" t="n"/>
      <c r="H220" s="29" t="n"/>
    </row>
  </sheetData>
  <mergeCells count="2">
    <mergeCell ref="A2:A3"/>
    <mergeCell ref="B1:L1"/>
  </mergeCells>
  <hyperlinks>
    <hyperlink xmlns:r="http://schemas.openxmlformats.org/officeDocument/2006/relationships" ref="B1" display="备注：&#10;1、O列【各项手续费】包括：小店手续费5%+汇损、提现、货损5%（估算），包裹成本指货物包装/面单成本&#10;2、新加坡币兑人民币汇率：4.8&#10;3、东南亚官方跨境物流成本价卡：TikTok Shop东南亚跨境物流成本价卡 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topLeftCell="B1" activePane="topRight" state="frozen"/>
      <selection activeCell="A1" sqref="A1"/>
      <selection pane="topRight" activeCell="A1" sqref="A1"/>
    </sheetView>
  </sheetViews>
  <sheetFormatPr baseColWidth="8" defaultColWidth="14" defaultRowHeight="15.2"/>
  <cols>
    <col width="34" customWidth="1" style="26" min="1" max="1"/>
    <col width="33" customWidth="1" style="26" min="2" max="2"/>
    <col width="19" customWidth="1" style="26" min="3" max="19"/>
    <col width="13" customWidth="1" style="26" min="20" max="20"/>
  </cols>
  <sheetData>
    <row r="1" ht="106" customHeight="1" s="26">
      <c r="A1" s="1" t="inlineStr">
        <is>
          <t>独立站产品定价表</t>
        </is>
      </c>
      <c r="B1" s="2" t="inlineStr">
        <is>
          <t>备注：
1、M和N列【挂号费和运费】需要根据物流公司渠道报价填写
2、O列【各项手续费】包括：shopify手续费0.5%/1%/2%（根据所选套餐）、paypal手续费5%（估算）、第三方提现平台手续费1%（估算）、汇损</t>
        </is>
      </c>
    </row>
    <row r="2" ht="54" customHeight="1" s="26">
      <c r="A2" s="4" t="inlineStr">
        <is>
          <t>产品名称</t>
        </is>
      </c>
      <c r="B2" s="5" t="inlineStr">
        <is>
          <t>sku</t>
        </is>
      </c>
      <c r="C2" s="5" t="inlineStr">
        <is>
          <t>手动填写</t>
        </is>
      </c>
      <c r="D2" s="5" t="inlineStr">
        <is>
          <t>手动填写</t>
        </is>
      </c>
      <c r="E2" s="5" t="inlineStr">
        <is>
          <t>手动填写</t>
        </is>
      </c>
      <c r="F2" s="5" t="inlineStr">
        <is>
          <t>手动填写</t>
        </is>
      </c>
      <c r="G2" s="5" t="inlineStr">
        <is>
          <t>手动填写</t>
        </is>
      </c>
      <c r="H2" s="5" t="inlineStr">
        <is>
          <t>手动填写</t>
        </is>
      </c>
      <c r="I2" s="6" t="inlineStr">
        <is>
          <t>勿改</t>
        </is>
      </c>
      <c r="J2" s="6" t="inlineStr">
        <is>
          <t>勿改</t>
        </is>
      </c>
      <c r="K2" s="5" t="inlineStr">
        <is>
          <t>手动填写</t>
        </is>
      </c>
      <c r="L2" s="6" t="inlineStr">
        <is>
          <t>勿改</t>
        </is>
      </c>
      <c r="M2" s="7" t="inlineStr">
        <is>
          <t>手动填写</t>
        </is>
      </c>
      <c r="O2" s="6" t="inlineStr">
        <is>
          <t>勿改</t>
        </is>
      </c>
      <c r="P2" s="6" t="inlineStr">
        <is>
          <t>勿改</t>
        </is>
      </c>
      <c r="Q2" s="6" t="inlineStr">
        <is>
          <t>勿改</t>
        </is>
      </c>
      <c r="R2" s="6" t="inlineStr">
        <is>
          <t>勿改</t>
        </is>
      </c>
      <c r="S2" s="6" t="inlineStr">
        <is>
          <t>勿改</t>
        </is>
      </c>
    </row>
    <row r="3" ht="54" customHeight="1" s="26">
      <c r="B3" s="8" t="inlineStr">
        <is>
          <t>样式</t>
        </is>
      </c>
      <c r="C3" s="8" t="inlineStr">
        <is>
          <t>进价￥</t>
        </is>
      </c>
      <c r="D3" s="8" t="inlineStr">
        <is>
          <t>包材￥</t>
        </is>
      </c>
      <c r="E3" s="8" t="inlineStr">
        <is>
          <t>长（cm）</t>
        </is>
      </c>
      <c r="F3" s="8" t="inlineStr">
        <is>
          <t>宽（cm）</t>
        </is>
      </c>
      <c r="G3" s="8" t="inlineStr">
        <is>
          <t>高（cm）</t>
        </is>
      </c>
      <c r="H3" s="8" t="inlineStr">
        <is>
          <t>实重 g</t>
        </is>
      </c>
      <c r="I3" s="8" t="inlineStr">
        <is>
          <t>体积重 g</t>
        </is>
      </c>
      <c r="J3" s="8" t="inlineStr">
        <is>
          <t>计费重 g</t>
        </is>
      </c>
      <c r="K3" s="8" t="inlineStr">
        <is>
          <t>独立站售价$</t>
        </is>
      </c>
      <c r="L3" s="8" t="inlineStr">
        <is>
          <t>独立站毛利率</t>
        </is>
      </c>
      <c r="M3" s="8" t="inlineStr">
        <is>
          <t>挂号费￥</t>
        </is>
      </c>
      <c r="N3" s="8" t="inlineStr">
        <is>
          <t>运费（RMB/KG）</t>
        </is>
      </c>
      <c r="O3" s="8" t="inlineStr">
        <is>
          <t>物流费用 ￥</t>
        </is>
      </c>
      <c r="P3" s="8" t="inlineStr">
        <is>
          <t>总成本$</t>
        </is>
      </c>
      <c r="Q3" s="8" t="inlineStr">
        <is>
          <t>各项手续费$</t>
        </is>
      </c>
      <c r="R3" s="8" t="inlineStr">
        <is>
          <t>利润$</t>
        </is>
      </c>
      <c r="S3" s="8" t="inlineStr">
        <is>
          <t>利润￥</t>
        </is>
      </c>
    </row>
    <row r="4" ht="32" customHeight="1" s="26">
      <c r="A4" s="9" t="inlineStr">
        <is>
          <t>例</t>
        </is>
      </c>
      <c r="B4" s="10" t="inlineStr">
        <is>
          <t>30 bottle</t>
        </is>
      </c>
      <c r="C4" s="10" t="n">
        <v>15</v>
      </c>
      <c r="D4" s="10" t="n">
        <v>1</v>
      </c>
      <c r="E4" s="10" t="n">
        <v>20</v>
      </c>
      <c r="F4" s="10" t="n">
        <v>15</v>
      </c>
      <c r="G4" s="10" t="n">
        <v>5</v>
      </c>
      <c r="H4" s="10" t="n">
        <v>400</v>
      </c>
      <c r="I4" s="11">
        <f>(E4*F4*G4)/8000*1000</f>
        <v/>
      </c>
      <c r="J4" s="11">
        <f>MAX(H4,I4)</f>
        <v/>
      </c>
      <c r="K4" s="10" t="n">
        <v>19</v>
      </c>
      <c r="L4" s="12">
        <f>R4/K4*100%</f>
        <v/>
      </c>
      <c r="M4" s="11" t="n">
        <v>20</v>
      </c>
      <c r="N4" s="11" t="n">
        <v>120</v>
      </c>
      <c r="O4" s="11">
        <f>J4/1000*N4+M4</f>
        <v/>
      </c>
      <c r="P4" s="29">
        <f>(O4+C4+D4)/6.3</f>
        <v/>
      </c>
      <c r="Q4" s="29">
        <f>K4*0.1</f>
        <v/>
      </c>
      <c r="R4" s="29">
        <f>K4-Q4-P4</f>
        <v/>
      </c>
      <c r="S4" s="29">
        <f>R4*6.3</f>
        <v/>
      </c>
    </row>
    <row r="5" ht="32" customHeight="1" s="26"/>
    <row r="6" ht="32" customHeight="1" s="26"/>
    <row r="7" ht="32" customHeight="1" s="26"/>
    <row r="8" ht="32" customHeight="1" s="26"/>
    <row r="9" ht="32" customHeight="1" s="26"/>
    <row r="10" ht="32" customHeight="1" s="26"/>
    <row r="11" ht="32" customHeight="1" s="26"/>
    <row r="12" ht="32" customHeight="1" s="26"/>
    <row r="13" ht="32" customHeight="1" s="26"/>
    <row r="14" ht="32" customHeight="1" s="26"/>
    <row r="15" ht="32" customHeight="1" s="26"/>
    <row r="16" ht="32" customHeight="1" s="26"/>
    <row r="17" ht="32" customHeight="1" s="26"/>
    <row r="18" ht="32" customHeight="1" s="26"/>
    <row r="19" ht="32" customHeight="1" s="26"/>
    <row r="20" ht="32" customHeight="1" s="26"/>
  </sheetData>
  <mergeCells count="3">
    <mergeCell ref="B1:S1"/>
    <mergeCell ref="M2:N2"/>
    <mergeCell ref="A2:A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6" min="1" max="1"/>
    <col width="18" customWidth="1" style="26" min="2" max="2"/>
    <col width="24" customWidth="1" style="26" min="3" max="3"/>
    <col width="12" customWidth="1" style="26" min="4" max="4"/>
    <col width="12" customWidth="1" style="26" min="5" max="5"/>
    <col width="24" customWidth="1" style="26" min="6" max="6"/>
  </cols>
  <sheetData>
    <row r="1">
      <c r="A1" t="inlineStr">
        <is>
          <t>日期</t>
        </is>
      </c>
      <c r="B1" t="inlineStr">
        <is>
          <t>产品名</t>
        </is>
      </c>
      <c r="C1" t="inlineStr">
        <is>
          <t>sku</t>
        </is>
      </c>
      <c r="D1" t="inlineStr">
        <is>
          <t>是否已推送</t>
        </is>
      </c>
      <c r="E1" t="inlineStr">
        <is>
          <t>推送渠道</t>
        </is>
      </c>
      <c r="F1" t="inlineStr">
        <is>
          <t>备注</t>
        </is>
      </c>
    </row>
    <row r="2">
      <c r="A2" s="31" t="inlineStr">
        <is>
          <t>2026-05-27</t>
        </is>
      </c>
      <c r="B2" s="31" t="inlineStr">
        <is>
          <t>免打孔拖把挂架</t>
        </is>
      </c>
      <c r="C2" s="31" t="inlineStr">
        <is>
          <t>mop-holder-wall-mounted</t>
        </is>
      </c>
      <c r="D2" s="31" t="inlineStr">
        <is>
          <t>已推送</t>
        </is>
      </c>
      <c r="E2" s="31" t="inlineStr">
        <is>
          <t>TikTok</t>
        </is>
      </c>
      <c r="F2" s="31" t="inlineStr">
        <is>
          <t>历史去重样本</t>
        </is>
      </c>
    </row>
    <row r="3">
      <c r="A3" s="31" t="inlineStr">
        <is>
          <t>2026-05-27</t>
        </is>
      </c>
      <c r="B3" s="31" t="inlineStr">
        <is>
          <t>缝隙清洁刷</t>
        </is>
      </c>
      <c r="C3" s="31" t="inlineStr">
        <is>
          <t>gap-cleaning-brush</t>
        </is>
      </c>
      <c r="D3" s="31" t="inlineStr">
        <is>
          <t>已推送</t>
        </is>
      </c>
      <c r="E3" s="31" t="inlineStr">
        <is>
          <t>TikTok</t>
        </is>
      </c>
      <c r="F3" s="31" t="inlineStr">
        <is>
          <t>历史去重样本</t>
        </is>
      </c>
    </row>
    <row r="4">
      <c r="A4" s="32" t="inlineStr">
        <is>
          <t>2026-05-27</t>
        </is>
      </c>
      <c r="B4" s="32" t="inlineStr">
        <is>
          <t>浴室免打孔转角架</t>
        </is>
      </c>
      <c r="C4" s="32" t="inlineStr">
        <is>
          <t>bathroom-corner-shelf</t>
        </is>
      </c>
      <c r="D4" s="32" t="inlineStr">
        <is>
          <t>已推送</t>
        </is>
      </c>
      <c r="E4" s="32" t="inlineStr">
        <is>
          <t>TikTok</t>
        </is>
      </c>
      <c r="F4" s="32" t="inlineStr">
        <is>
          <t>历史去重样本</t>
        </is>
      </c>
    </row>
    <row r="5">
      <c r="A5" s="32" t="inlineStr">
        <is>
          <t>2026-05-27</t>
        </is>
      </c>
      <c r="B5" s="32" t="inlineStr">
        <is>
          <t>抽屉分隔收纳盒</t>
        </is>
      </c>
      <c r="C5" s="32" t="inlineStr">
        <is>
          <t>drawer-organizer-box</t>
        </is>
      </c>
      <c r="D5" s="32" t="inlineStr">
        <is>
          <t>已推送</t>
        </is>
      </c>
      <c r="E5" s="32" t="inlineStr">
        <is>
          <t>TikTok</t>
        </is>
      </c>
      <c r="F5" s="32" t="inlineStr">
        <is>
          <t>历史去重样本</t>
        </is>
      </c>
    </row>
    <row r="6">
      <c r="A6" s="32" t="inlineStr">
        <is>
          <t>2026-05-27</t>
        </is>
      </c>
      <c r="B6" s="32" t="inlineStr">
        <is>
          <t>壁挂肥皂盒带沥水</t>
        </is>
      </c>
      <c r="C6" s="32" t="inlineStr">
        <is>
          <t>wall-mounted-soap-holder</t>
        </is>
      </c>
      <c r="D6" s="32" t="inlineStr">
        <is>
          <t>已推送</t>
        </is>
      </c>
      <c r="E6" s="32" t="inlineStr">
        <is>
          <t>TikTok</t>
        </is>
      </c>
      <c r="F6" s="32" t="inlineStr">
        <is>
          <t>历史去重样本</t>
        </is>
      </c>
    </row>
    <row r="7">
      <c r="A7" s="32" t="inlineStr">
        <is>
          <t>2026-05-27</t>
        </is>
      </c>
      <c r="B7" s="32" t="inlineStr">
        <is>
          <t>桌面多格收纳盒</t>
        </is>
      </c>
      <c r="C7" s="32" t="inlineStr">
        <is>
          <t>desktop-storage-box</t>
        </is>
      </c>
      <c r="D7" s="32" t="inlineStr">
        <is>
          <t>已推送</t>
        </is>
      </c>
      <c r="E7" s="32" t="inlineStr">
        <is>
          <t>TikTok</t>
        </is>
      </c>
      <c r="F7" s="32" t="inlineStr">
        <is>
          <t>历史去重样本</t>
        </is>
      </c>
    </row>
    <row r="8">
      <c r="A8" s="32" t="inlineStr">
        <is>
          <t>2026-05-27</t>
        </is>
      </c>
      <c r="B8" s="32" t="inlineStr">
        <is>
          <t>免打孔卷纸架带置物台</t>
        </is>
      </c>
      <c r="C8" s="32" t="inlineStr">
        <is>
          <t>toilet-paper-holder-shelf</t>
        </is>
      </c>
      <c r="D8" s="32" t="inlineStr">
        <is>
          <t>已推送</t>
        </is>
      </c>
      <c r="E8" s="32" t="inlineStr">
        <is>
          <t>TikTok</t>
        </is>
      </c>
      <c r="F8" s="32" t="inlineStr">
        <is>
          <t>历史去重样本</t>
        </is>
      </c>
    </row>
    <row r="9">
      <c r="A9" s="32" t="inlineStr">
        <is>
          <t>2026-05-27</t>
        </is>
      </c>
      <c r="B9" s="32" t="inlineStr">
        <is>
          <t>衣柜挂袋收纳器</t>
        </is>
      </c>
      <c r="C9" s="32" t="inlineStr">
        <is>
          <t>wardrobe-organizer</t>
        </is>
      </c>
      <c r="D9" s="32" t="inlineStr">
        <is>
          <t>已推送</t>
        </is>
      </c>
      <c r="E9" s="32" t="inlineStr">
        <is>
          <t>TikTok</t>
        </is>
      </c>
      <c r="F9" s="32" t="inlineStr">
        <is>
          <t>历史去重样本</t>
        </is>
      </c>
    </row>
    <row r="10">
      <c r="A10" s="32" t="inlineStr">
        <is>
          <t>2026-05-27</t>
        </is>
      </c>
      <c r="B10" s="32" t="inlineStr">
        <is>
          <t>床底收纳袋</t>
        </is>
      </c>
      <c r="C10" s="32" t="inlineStr">
        <is>
          <t>under-bed-storage-bag</t>
        </is>
      </c>
      <c r="D10" s="32" t="inlineStr">
        <is>
          <t>已推送</t>
        </is>
      </c>
      <c r="E10" s="32" t="inlineStr">
        <is>
          <t>TikTok</t>
        </is>
      </c>
      <c r="F10" s="32" t="inlineStr">
        <is>
          <t>历史去重样本</t>
        </is>
      </c>
    </row>
    <row r="11">
      <c r="A11" s="32" t="inlineStr">
        <is>
          <t>2026-05-27</t>
        </is>
      </c>
      <c r="B11" s="32" t="inlineStr">
        <is>
          <t>滚筒粘毛器</t>
        </is>
      </c>
      <c r="C11" s="32" t="inlineStr">
        <is>
          <t>lint-roller</t>
        </is>
      </c>
      <c r="D11" s="32" t="inlineStr">
        <is>
          <t>已推送</t>
        </is>
      </c>
      <c r="E11" s="32" t="inlineStr">
        <is>
          <t>TikTok</t>
        </is>
      </c>
      <c r="F11" s="32" t="inlineStr">
        <is>
          <t>历史去重样本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2026-04-22T16:49:00Z</dcterms:created>
  <dcterms:modified xsi:type="dcterms:W3CDTF">2026-05-28T04:43:40Z</dcterms:modified>
  <cp:lastModifiedBy>更精彩的活@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2052-12.1.25869.25869</vt:lpwstr>
  </property>
  <property name="CalculationRule" fmtid="{D5CDD505-2E9C-101B-9397-08002B2CF9AE}" pid="3">
    <vt:i4>0</vt:i4>
  </property>
  <property name="ICV" fmtid="{D5CDD505-2E9C-101B-9397-08002B2CF9AE}" pid="4">
    <vt:lpwstr>D64524E6A39C1EC70C2EE8698698EA70_43</vt:lpwstr>
  </property>
</Properties>
</file>